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3"/>
  </bookViews>
  <sheets>
    <sheet name="OBWOLO BUDGET" sheetId="1" r:id="rId1"/>
    <sheet name="SCHOOL FEES SUMMARY" sheetId="2" r:id="rId2"/>
    <sheet name="GITA-BUDGET" sheetId="3" r:id="rId3"/>
    <sheet name="GRADE 3 FEES BAL 2024" sheetId="5" r:id="rId4"/>
    <sheet name="GRADE 4 FEE BAL 2024" sheetId="4" r:id="rId5"/>
    <sheet name="GRADE 5 FEE BAL-2024" sheetId="6" r:id="rId6"/>
    <sheet name="GRADE 6 FEE BALANCE 2024" sheetId="7" r:id="rId7"/>
    <sheet name="Sheet5" sheetId="8" r:id="rId8"/>
    <sheet name="Sheet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<sst xmlns="http://schemas.openxmlformats.org/spreadsheetml/2006/main" count="425" uniqueCount="245">
  <si>
    <t>EMMANUEL ACT ACADEMY-OBWOLO</t>
  </si>
  <si>
    <t>OUR PROPOSED BUDGET- 2024</t>
  </si>
  <si>
    <t>ITEM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</si>
  <si>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</si>
  <si>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</si>
  <si>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</si>
  <si>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</si>
  <si>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</si>
  <si>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</si>
  <si>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</si>
  <si>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</si>
  <si>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</si>
  <si>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</si>
  <si>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</si>
  <si>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</si>
  <si>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 Exp.</t>
  </si>
  <si>
    <t>Brief explanation</t>
  </si>
  <si>
    <t>County Government of Kisumu</t>
  </si>
  <si>
    <t>Annual County business permit</t>
  </si>
  <si>
    <t>Food</t>
  </si>
  <si>
    <t>Food @1200/- per child per month.</t>
  </si>
  <si>
    <t>Health</t>
  </si>
  <si>
    <t>Purchase of paracetamol tablets.</t>
  </si>
  <si>
    <t>Firewood</t>
  </si>
  <si>
    <t>Purchase of firewood for school kitchen.</t>
  </si>
  <si>
    <t>Electricity</t>
  </si>
  <si>
    <t>Monthly electricity supply to our school.</t>
  </si>
  <si>
    <t>Water(Repairs &amp; maintenance</t>
  </si>
  <si>
    <t>Rainwater catchment maintenance &amp; repairs.</t>
  </si>
  <si>
    <t>School Activities-Ballgames/Athletics</t>
  </si>
  <si>
    <t>Inter schools ballgames &amp; athletics.</t>
  </si>
  <si>
    <t>Government levies</t>
  </si>
  <si>
    <t xml:space="preserve">Termly visits by government. </t>
  </si>
  <si>
    <t>New uniforms Grade 7</t>
  </si>
  <si>
    <t>New uniforms for Grade 7 children.</t>
  </si>
  <si>
    <t>Office Stationery</t>
  </si>
  <si>
    <t>Monthly office &amp; classroom supplies.</t>
  </si>
  <si>
    <t>Postage &amp; Communication</t>
  </si>
  <si>
    <t xml:space="preserve">Phone communication &amp; internet. </t>
  </si>
  <si>
    <t>Building repairs</t>
  </si>
  <si>
    <t>Minor repairs on buildings.</t>
  </si>
  <si>
    <t xml:space="preserve">Miscellaneous </t>
  </si>
  <si>
    <t>Any emergency/unbudgeted overhead costs.</t>
  </si>
  <si>
    <t>Bank Charges 1266958622</t>
  </si>
  <si>
    <t>Bank Account monthly charges.</t>
  </si>
  <si>
    <t>Staff Health Insurance(N.H.I.F.)</t>
  </si>
  <si>
    <t>Health insurance cover @500/- each employee.</t>
  </si>
  <si>
    <t>Staff Social Wefare (N.S.S.F.)12% of salaries.</t>
  </si>
  <si>
    <t>Social fund contributions.</t>
  </si>
  <si>
    <t>National Housing Levy Fund 3% of salaries.</t>
  </si>
  <si>
    <t>Housing fund contributions.</t>
  </si>
  <si>
    <t>Staff salaries- Current</t>
  </si>
  <si>
    <t>Kevin ochieng</t>
  </si>
  <si>
    <t>Staff salary</t>
  </si>
  <si>
    <t>steve orege</t>
  </si>
  <si>
    <t>susan goganjo</t>
  </si>
  <si>
    <t>duncan odiwuor</t>
  </si>
  <si>
    <t>Staff salary(To be hired)</t>
  </si>
  <si>
    <t>grace shikuru</t>
  </si>
  <si>
    <t>eunice miruka</t>
  </si>
  <si>
    <t>Part Staff salary</t>
  </si>
  <si>
    <t>nancy auma</t>
  </si>
  <si>
    <t>Headteacher allowance.</t>
  </si>
  <si>
    <t>ochieng roseline</t>
  </si>
  <si>
    <t>Deputy Headteacher allowance.</t>
  </si>
  <si>
    <t>hellen akoth</t>
  </si>
  <si>
    <t>angeline oliech</t>
  </si>
  <si>
    <t>cereline atieno</t>
  </si>
  <si>
    <t>risper awuor</t>
  </si>
  <si>
    <t>irene achieng</t>
  </si>
  <si>
    <t>linet atieno</t>
  </si>
  <si>
    <t>TOTAL</t>
  </si>
  <si>
    <t>Other Budgets:</t>
  </si>
  <si>
    <t>Tables and Chairs for Grade 7 pupils</t>
  </si>
  <si>
    <t>Chairs and tables for Grade 7 children.</t>
  </si>
  <si>
    <t>Office chairs and tables</t>
  </si>
  <si>
    <t>Office chairs and tables for staff.</t>
  </si>
  <si>
    <t>Office Desktop computer for record keeping</t>
  </si>
  <si>
    <t>Computer for school clerk.</t>
  </si>
  <si>
    <t>Office Printer/photocopier</t>
  </si>
  <si>
    <t>School photocopier and printer.</t>
  </si>
  <si>
    <t>2 Energy saving Cooking stoves</t>
  </si>
  <si>
    <t>2 Energy saving Cooking stoves for school kitchen.</t>
  </si>
  <si>
    <t>Kitchen utensils</t>
  </si>
  <si>
    <t>School kitchen cups, sufurias, plates, spoons.</t>
  </si>
  <si>
    <t>GRAND TOTAL</t>
  </si>
  <si>
    <t>EMMANUEL ACT-GITA 2024 SCHOOL FEE SUMMARY</t>
  </si>
  <si>
    <t>NO. PUPILS</t>
  </si>
  <si>
    <t>TERM 1</t>
  </si>
  <si>
    <t>TERM 2</t>
  </si>
  <si>
    <t>TERM 3</t>
  </si>
  <si>
    <t>TOTAL/ PUPIL</t>
  </si>
  <si>
    <t>EXPECTED TOTOAL COLLECTION</t>
  </si>
  <si>
    <t>60% OF  TERM 1</t>
  </si>
  <si>
    <t>20% TERM 2</t>
  </si>
  <si>
    <t>20% OF TERM 3</t>
  </si>
  <si>
    <t>PG</t>
  </si>
  <si>
    <t>PP1</t>
  </si>
  <si>
    <t>PP2</t>
  </si>
  <si>
    <t>G1</t>
  </si>
  <si>
    <t>G2</t>
  </si>
  <si>
    <t>G3</t>
  </si>
  <si>
    <t>G4</t>
  </si>
  <si>
    <t>G5</t>
  </si>
  <si>
    <t>G6</t>
  </si>
  <si>
    <t>JSS 7</t>
  </si>
  <si>
    <t>EMMANUEL ACT-OBWOLO-2024 SCHOOL FEES SUMMARY</t>
  </si>
  <si>
    <t>TOTAL/PUPIL</t>
  </si>
  <si>
    <t>EXPECTED TOTAL COLL</t>
  </si>
  <si>
    <t>EXPECTED TOTAL COLLECTION BOTH SCHOOL</t>
  </si>
  <si>
    <t>EMMANUEL ACT ACADEMY GITA</t>
  </si>
  <si>
    <t>collins owuor</t>
  </si>
  <si>
    <t>edwin gingo</t>
  </si>
  <si>
    <t>mercy omondi</t>
  </si>
  <si>
    <t>margaret adongo</t>
  </si>
  <si>
    <t>caroline odhiambo</t>
  </si>
  <si>
    <t>evelyne ogutu</t>
  </si>
  <si>
    <t>treezy asewe</t>
  </si>
  <si>
    <t>elizabeth omollo</t>
  </si>
  <si>
    <t>hellen ochieng</t>
  </si>
  <si>
    <t>stella oneko</t>
  </si>
  <si>
    <t>anudo walter</t>
  </si>
  <si>
    <t>elizabeth oliech</t>
  </si>
  <si>
    <t>EMMANUEL ACT GITA -2024 CURRENT GRADE 3</t>
  </si>
  <si>
    <t>PUPIL NAME</t>
  </si>
  <si>
    <t>PHONE NO.</t>
  </si>
  <si>
    <t>DEATAILS</t>
  </si>
  <si>
    <t xml:space="preserve"> FEB-24</t>
  </si>
  <si>
    <t>FEE BALANCE</t>
  </si>
  <si>
    <t>BOOK BAL</t>
  </si>
  <si>
    <t>COMMENTS</t>
  </si>
  <si>
    <t>PREVIOUS BAL</t>
  </si>
  <si>
    <t>AMOUNT PAID</t>
  </si>
  <si>
    <t>BALANCE</t>
  </si>
  <si>
    <t>new/old</t>
  </si>
  <si>
    <t>balance b/f</t>
  </si>
  <si>
    <t>TERM 2 FEES</t>
  </si>
  <si>
    <t>OMUNT PAID</t>
  </si>
  <si>
    <t>PRECIOUS ATIENO</t>
  </si>
  <si>
    <t>OLD</t>
  </si>
  <si>
    <t>FIDEL SAMSON</t>
  </si>
  <si>
    <t>BYRON LARRY</t>
  </si>
  <si>
    <t>JOYLINE GRACE</t>
  </si>
  <si>
    <t>RAMSEY NOAH</t>
  </si>
  <si>
    <t>PRINCE TAMARA</t>
  </si>
  <si>
    <t>KATE GIFT</t>
  </si>
  <si>
    <t>BRETT RICKY</t>
  </si>
  <si>
    <t>RUTH ADDAH</t>
  </si>
  <si>
    <t>MARION AGUTU</t>
  </si>
  <si>
    <t>SUNNY LENNOX</t>
  </si>
  <si>
    <t>0729381263</t>
  </si>
  <si>
    <t>GLORIA NICOLE</t>
  </si>
  <si>
    <t>SHANTEL SHANIA</t>
  </si>
  <si>
    <t>JULIET ATIENO</t>
  </si>
  <si>
    <t>ALVIN AMONDI</t>
  </si>
  <si>
    <t>JASMIN AKINYI</t>
  </si>
  <si>
    <t>ASHLEY ATIENO</t>
  </si>
  <si>
    <t>KAILER MBONE</t>
  </si>
  <si>
    <t>HEELN AWUOR</t>
  </si>
  <si>
    <t>EVERLINE ACHIENG</t>
  </si>
  <si>
    <t>GRACE ATIENO</t>
  </si>
  <si>
    <t>ELIZABETH WENDY</t>
  </si>
  <si>
    <t>DAISY SANDIE</t>
  </si>
  <si>
    <t>BRENNY TRIZAR</t>
  </si>
  <si>
    <t>OLIVIA KOECH</t>
  </si>
  <si>
    <t>LETICIA ZOE</t>
  </si>
  <si>
    <t>GLORIA PENINAH</t>
  </si>
  <si>
    <t>SHARON YUVONNE</t>
  </si>
  <si>
    <t>JEFF DERRICK</t>
  </si>
  <si>
    <t>ADRIX RAYAN</t>
  </si>
  <si>
    <t>JOEL ORIGI</t>
  </si>
  <si>
    <t>JEREMIAH HONOUR</t>
  </si>
  <si>
    <t>ABUBAKAR JUMA</t>
  </si>
  <si>
    <t>LEWIS THIMOCHI</t>
  </si>
  <si>
    <t>STANLEY CHIENG</t>
  </si>
  <si>
    <t>RYAN CYRIL</t>
  </si>
  <si>
    <t>VINCENT YUSUF</t>
  </si>
  <si>
    <t>MICHAEL OKINYI</t>
  </si>
  <si>
    <t>MAXWEL MATOKA</t>
  </si>
  <si>
    <t>HENRY OGADA</t>
  </si>
  <si>
    <t>IVY DENZINA</t>
  </si>
  <si>
    <t>EMMANUEL ACT GITA -2024 CURRENT GRADE 4</t>
  </si>
  <si>
    <t>shem otieno</t>
  </si>
  <si>
    <t>Laureen lencer</t>
  </si>
  <si>
    <t>winnie akinyi</t>
  </si>
  <si>
    <t>cecel omondi</t>
  </si>
  <si>
    <t>pamela akiny</t>
  </si>
  <si>
    <t>kevin onyango</t>
  </si>
  <si>
    <t>irene precious</t>
  </si>
  <si>
    <t>wilson rodney</t>
  </si>
  <si>
    <t>quinter awuor</t>
  </si>
  <si>
    <t>bravon ochieng</t>
  </si>
  <si>
    <t>marley gift</t>
  </si>
  <si>
    <t>keyler mbone</t>
  </si>
  <si>
    <t>pharel williams</t>
  </si>
  <si>
    <t>Berryl miriam</t>
  </si>
  <si>
    <t>nicholus onyango</t>
  </si>
  <si>
    <t>earl jayden</t>
  </si>
  <si>
    <t>EMMANUEL ACT GITA -2024 CURRENT GRADE 5</t>
  </si>
  <si>
    <t>joseph omondi</t>
  </si>
  <si>
    <t>sophy ivy</t>
  </si>
  <si>
    <t>bravin ochieng</t>
  </si>
  <si>
    <t>ibrahim omondi</t>
  </si>
  <si>
    <t>kate winslet</t>
  </si>
  <si>
    <t>twavin mulimi</t>
  </si>
  <si>
    <t>steven ochieng</t>
  </si>
  <si>
    <t>daniel elyne</t>
  </si>
  <si>
    <t>joseph ochieng onyango</t>
  </si>
  <si>
    <t>marion akinyi</t>
  </si>
  <si>
    <t>jonnes wilkins</t>
  </si>
  <si>
    <t>edwin jhonsine</t>
  </si>
  <si>
    <t>0795983506</t>
  </si>
  <si>
    <t>samantha brennie</t>
  </si>
  <si>
    <t>shallet akinyi</t>
  </si>
  <si>
    <t>0719493719</t>
  </si>
  <si>
    <t>jhone menya</t>
  </si>
  <si>
    <t>gloria omede</t>
  </si>
  <si>
    <t>aloice odhiambo</t>
  </si>
  <si>
    <t>denis tom</t>
  </si>
  <si>
    <t>fidel onyango</t>
  </si>
  <si>
    <t>evet atieno</t>
  </si>
  <si>
    <t>diana atieno</t>
  </si>
  <si>
    <t>irene atieno</t>
  </si>
  <si>
    <t>blessy sella</t>
  </si>
  <si>
    <t>0106182693</t>
  </si>
  <si>
    <t xml:space="preserve">lucy atieno </t>
  </si>
  <si>
    <t>weley kylen</t>
  </si>
  <si>
    <t>EMMANUEL ACT GITA -2024 CURRENT GRADE 6</t>
  </si>
  <si>
    <t>KEIDEN OCHIENG</t>
  </si>
  <si>
    <t>SHEILAH ADHIAMBO</t>
  </si>
  <si>
    <t>TRESALBER ADHIAMBO</t>
  </si>
  <si>
    <t>KEVONIOR OTIENO</t>
  </si>
  <si>
    <t>FINAH AKINYI</t>
  </si>
  <si>
    <t>CELINE DION</t>
  </si>
  <si>
    <t>ELISHA ODHIAMBO</t>
  </si>
  <si>
    <t>RASHID MOHAMED</t>
  </si>
  <si>
    <t>JULIUS CHARO</t>
  </si>
  <si>
    <t xml:space="preserve">NEW </t>
  </si>
  <si>
    <t>VIVIAN ATIENO</t>
  </si>
  <si>
    <t>MARY POWEL</t>
  </si>
  <si>
    <t>SHELDON SHALYVAN</t>
  </si>
  <si>
    <t>MERCY SHANIA</t>
  </si>
  <si>
    <t>GEORGE OMBEDE</t>
  </si>
  <si>
    <t>PRECIOUS JOY</t>
  </si>
  <si>
    <t>WESLEY KILLEN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</si>
</sst>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41">
    <font>
      <sz val="11"/>
      <color theme="1"/>
      <name val="Calibri"/>
      <charset val="1"/>
      <scheme val="minor"/>
    </font>
    <font>
      <b/>
      <sz val="14"/>
      <color theme="1"/>
      <name val="Calibri"/>
      <charset val="1"/>
      <scheme val="minor"/>
    </font>
    <font>
      <sz val="11"/>
      <color theme="0"/>
      <name val="Calibri"/>
      <charset val="0"/>
      <scheme val="minor"/>
    </font>
    <font>
      <b/>
      <sz val="11"/>
      <color theme="0"/>
      <name val="Calibri"/>
      <charset val="1"/>
      <scheme val="minor"/>
    </font>
    <font>
      <sz val="11"/>
      <color rgb="FFFF0000"/>
      <name val="Calibri"/>
      <charset val="0"/>
      <scheme val="minor"/>
    </font>
    <font>
      <b/>
      <sz val="18"/>
      <color indexed="8"/>
      <name val="Calibri"/>
      <charset val="134"/>
    </font>
    <font>
      <sz val="18"/>
      <name val="Calibri"/>
      <charset val="134"/>
    </font>
    <font>
      <sz val="18"/>
      <color indexed="8"/>
      <name val="Calibri"/>
      <charset val="134"/>
    </font>
    <font>
      <b/>
      <sz val="22"/>
      <color indexed="8"/>
      <name val="Times New Roman"/>
      <charset val="134"/>
    </font>
    <font>
      <sz val="9"/>
      <color indexed="8"/>
      <name val="Times New Roman"/>
      <charset val="134"/>
    </font>
    <font>
      <b/>
      <sz val="9"/>
      <color indexed="8"/>
      <name val="Times New Roman"/>
      <charset val="134"/>
    </font>
    <font>
      <sz val="9"/>
      <name val="Times New Roman"/>
      <charset val="134"/>
    </font>
    <font>
      <sz val="11"/>
      <color theme="0"/>
      <name val="Calibri"/>
      <charset val="1"/>
      <scheme val="minor"/>
    </font>
    <font>
      <b/>
      <sz val="16"/>
      <color indexed="8"/>
      <name val="Times New Roman"/>
      <charset val="134"/>
    </font>
    <font>
      <sz val="11"/>
      <color rgb="FF3F3F76"/>
      <name val="Calibri"/>
      <charset val="1"/>
      <scheme val="minor"/>
    </font>
    <font>
      <sz val="18"/>
      <color indexed="8"/>
      <name val="Times New Roman"/>
      <charset val="134"/>
    </font>
    <font>
      <b/>
      <sz val="18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name val="Times New Roman"/>
      <charset val="134"/>
    </font>
    <font>
      <b/>
      <sz val="16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6"/>
      <color indexed="8"/>
      <name val="Calibri"/>
      <charset val="134"/>
    </font>
    <font>
      <b/>
      <i/>
      <sz val="11"/>
      <color indexed="8"/>
      <name val="Calibri"/>
      <charset val="134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0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/>
    <xf numFmtId="0" fontId="33" fillId="11" borderId="10" applyNumberFormat="0" applyAlignment="0" applyProtection="0">
      <alignment vertical="center"/>
    </xf>
    <xf numFmtId="0" fontId="34" fillId="11" borderId="5" applyNumberFormat="0" applyAlignment="0" applyProtection="0">
      <alignment vertical="center"/>
    </xf>
    <xf numFmtId="0" fontId="3" fillId="4" borderId="1" applyNumberFormat="0" applyAlignment="0" applyProtection="0"/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2" borderId="0" xfId="32"/>
    <xf numFmtId="0" fontId="2" fillId="3" borderId="1" xfId="41" applyBorder="1" applyAlignment="1">
      <alignment horizontal="center"/>
    </xf>
    <xf numFmtId="0" fontId="2" fillId="2" borderId="1" xfId="32" applyBorder="1"/>
    <xf numFmtId="0" fontId="3" fillId="4" borderId="2" xfId="19" applyBorder="1"/>
    <xf numFmtId="0" fontId="0" fillId="0" borderId="3" xfId="0" applyBorder="1"/>
    <xf numFmtId="176" fontId="0" fillId="0" borderId="3" xfId="1" applyFill="1" applyBorder="1"/>
    <xf numFmtId="176" fontId="2" fillId="5" borderId="3" xfId="1" applyFont="1" applyFill="1" applyBorder="1"/>
    <xf numFmtId="176" fontId="2" fillId="6" borderId="3" xfId="1" applyFont="1" applyFill="1" applyBorder="1"/>
    <xf numFmtId="0" fontId="0" fillId="0" borderId="3" xfId="0" applyFill="1" applyBorder="1"/>
    <xf numFmtId="0" fontId="3" fillId="4" borderId="4" xfId="19" applyBorder="1" applyAlignment="1">
      <alignment horizontal="right"/>
    </xf>
    <xf numFmtId="0" fontId="3" fillId="4" borderId="4" xfId="19" applyBorder="1"/>
    <xf numFmtId="176" fontId="3" fillId="4" borderId="4" xfId="1" applyFont="1" applyFill="1" applyBorder="1"/>
    <xf numFmtId="17" fontId="3" fillId="4" borderId="1" xfId="19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NumberFormat="1"/>
    <xf numFmtId="176" fontId="2" fillId="7" borderId="4" xfId="29" applyNumberFormat="1" applyBorder="1"/>
    <xf numFmtId="176" fontId="4" fillId="6" borderId="3" xfId="1" applyFont="1" applyFill="1" applyBorder="1"/>
    <xf numFmtId="176" fontId="0" fillId="0" borderId="0" xfId="1" applyFill="1"/>
    <xf numFmtId="176" fontId="2" fillId="5" borderId="0" xfId="1" applyFont="1" applyFill="1"/>
    <xf numFmtId="0" fontId="2" fillId="2" borderId="1" xfId="32" applyBorder="1" applyAlignment="1">
      <alignment horizontal="center"/>
    </xf>
    <xf numFmtId="0" fontId="2" fillId="8" borderId="1" xfId="28" applyBorder="1" applyAlignment="1">
      <alignment horizontal="center"/>
    </xf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/>
    <xf numFmtId="0" fontId="3" fillId="4" borderId="1" xfId="19" applyNumberFormat="1" applyAlignment="1" applyProtection="1"/>
    <xf numFmtId="16" fontId="3" fillId="4" borderId="1" xfId="19" applyNumberFormat="1" applyAlignment="1" applyProtection="1"/>
    <xf numFmtId="0" fontId="3" fillId="4" borderId="1" xfId="19"/>
    <xf numFmtId="0" fontId="0" fillId="0" borderId="0" xfId="0" applyFont="1"/>
    <xf numFmtId="176" fontId="9" fillId="0" borderId="0" xfId="1" applyFont="1" applyFill="1" applyBorder="1" applyAlignment="1" applyProtection="1"/>
    <xf numFmtId="176" fontId="0" fillId="0" borderId="0" xfId="1" applyFont="1"/>
    <xf numFmtId="0" fontId="10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176" fontId="11" fillId="0" borderId="0" xfId="1" applyFont="1" applyFill="1" applyBorder="1" applyAlignment="1" applyProtection="1"/>
    <xf numFmtId="176" fontId="12" fillId="4" borderId="1" xfId="19" applyNumberFormat="1" applyFont="1" applyAlignment="1" applyProtection="1"/>
    <xf numFmtId="176" fontId="12" fillId="4" borderId="1" xfId="19" applyNumberFormat="1" applyFont="1"/>
    <xf numFmtId="3" fontId="9" fillId="0" borderId="0" xfId="0" applyNumberFormat="1" applyFont="1" applyFill="1" applyBorder="1" applyAlignment="1" applyProtection="1"/>
    <xf numFmtId="3" fontId="3" fillId="4" borderId="1" xfId="19" applyNumberFormat="1" applyAlignment="1" applyProtection="1"/>
    <xf numFmtId="176" fontId="12" fillId="4" borderId="1" xfId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176" fontId="3" fillId="4" borderId="1" xfId="19" applyNumberFormat="1" applyAlignment="1" applyProtection="1"/>
    <xf numFmtId="3" fontId="14" fillId="9" borderId="5" xfId="16" applyNumberFormat="1" applyAlignment="1" applyProtection="1"/>
    <xf numFmtId="0" fontId="15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20" fillId="0" borderId="0" xfId="0" applyFont="1" applyAlignment="1">
      <alignment horizontal="center"/>
    </xf>
    <xf numFmtId="9" fontId="3" fillId="4" borderId="1" xfId="19" applyNumberFormat="1"/>
    <xf numFmtId="0" fontId="21" fillId="0" borderId="3" xfId="0" applyNumberFormat="1" applyFont="1" applyFill="1" applyBorder="1" applyAlignment="1" applyProtection="1"/>
    <xf numFmtId="176" fontId="21" fillId="0" borderId="0" xfId="1" applyFont="1" applyFill="1" applyBorder="1" applyAlignment="1" applyProtection="1"/>
    <xf numFmtId="176" fontId="0" fillId="0" borderId="0" xfId="0" applyNumberFormat="1"/>
    <xf numFmtId="0" fontId="21" fillId="0" borderId="6" xfId="0" applyNumberFormat="1" applyFont="1" applyFill="1" applyBorder="1" applyAlignment="1" applyProtection="1"/>
    <xf numFmtId="0" fontId="22" fillId="0" borderId="0" xfId="0" applyNumberFormat="1" applyFont="1" applyFill="1" applyBorder="1" applyAlignment="1" applyProtection="1">
      <alignment horizontal="center"/>
    </xf>
    <xf numFmtId="176" fontId="3" fillId="4" borderId="1" xfId="19" applyNumberFormat="1"/>
    <xf numFmtId="0" fontId="23" fillId="0" borderId="0" xfId="0" applyNumberFormat="1" applyFont="1" applyFill="1" applyBorder="1" applyAlignment="1" applyProtection="1"/>
    <xf numFmtId="0" fontId="24" fillId="0" borderId="0" xfId="0" applyFont="1"/>
    <xf numFmtId="176" fontId="14" fillId="9" borderId="5" xfId="16" applyNumberFormat="1"/>
    <xf numFmtId="0" fontId="0" fillId="0" borderId="3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"/>
  <sheetViews>
    <sheetView topLeftCell="A35" workbookViewId="0">
      <selection activeCell="S28" sqref="S28"/>
    </sheetView>
  </sheetViews>
  <sheetFormatPr defaultColWidth="9.14285714285714" defaultRowHeight="23.25"/>
  <cols>
    <col min="1" max="1" width="32.5714285714286" style="29" customWidth="1"/>
    <col min="2" max="4" width="11.5714285714286" style="29" customWidth="1"/>
    <col min="5" max="13" width="11.7142857142857" customWidth="1"/>
    <col min="14" max="14" width="14.7142857142857" style="29" customWidth="1"/>
    <col min="15" max="16" width="9.14285714285714" style="29"/>
    <col min="17" max="17" width="12.8571428571429" style="29" customWidth="1"/>
    <col min="18" max="22" width="9.14285714285714" style="29"/>
    <col min="23" max="23" width="9.85714285714286" style="29" customWidth="1"/>
    <col min="24" max="16384" width="9.14285714285714" style="29"/>
  </cols>
  <sheetData>
    <row r="1" ht="27" spans="1:1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49"/>
      <c r="S1" s="49"/>
    </row>
    <row r="2" ht="27" spans="1:1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49"/>
      <c r="S2" s="49"/>
    </row>
    <row r="3" ht="24" spans="1:19">
      <c r="A3" s="31"/>
      <c r="B3" s="31"/>
      <c r="C3" s="31"/>
      <c r="D3" s="31"/>
      <c r="N3" s="31"/>
      <c r="O3" s="31"/>
      <c r="P3" s="31"/>
      <c r="Q3" s="31"/>
      <c r="R3" s="49"/>
      <c r="S3" s="49"/>
    </row>
    <row r="4" s="27" customFormat="1" ht="24.75" spans="1:19">
      <c r="A4" s="32" t="s">
        <v>2</v>
      </c>
      <c r="B4" s="33" t="s">
        <v>3</v>
      </c>
      <c r="C4" s="32" t="s">
        <v>4</v>
      </c>
      <c r="D4" s="32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2" t="s">
        <v>15</v>
      </c>
      <c r="O4" s="32" t="s">
        <v>16</v>
      </c>
      <c r="P4" s="32"/>
      <c r="Q4" s="32"/>
      <c r="R4" s="50"/>
      <c r="S4" s="50"/>
    </row>
    <row r="5" ht="24.75" spans="1:19">
      <c r="A5" s="31"/>
      <c r="B5" s="31"/>
      <c r="C5" s="31"/>
      <c r="D5" s="31"/>
      <c r="E5" s="35"/>
      <c r="F5" s="35"/>
      <c r="G5" s="35"/>
      <c r="H5" s="35"/>
      <c r="I5" s="35"/>
      <c r="J5" s="35"/>
      <c r="K5" s="35"/>
      <c r="L5" s="35"/>
      <c r="M5" s="35"/>
      <c r="N5" s="46">
        <v>2024</v>
      </c>
      <c r="O5" s="31"/>
      <c r="P5" s="31"/>
      <c r="Q5" s="31"/>
      <c r="R5" s="49"/>
      <c r="S5" s="49"/>
    </row>
    <row r="6" ht="17.25" spans="1:19">
      <c r="A6" s="31" t="s">
        <v>17</v>
      </c>
      <c r="B6" s="36">
        <v>20000</v>
      </c>
      <c r="C6" s="36">
        <v>0</v>
      </c>
      <c r="D6" s="36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47">
        <f t="shared" ref="N6:N19" si="0">SUM(B6:M6)</f>
        <v>20000</v>
      </c>
      <c r="O6" s="31" t="s">
        <v>18</v>
      </c>
      <c r="P6" s="31"/>
      <c r="Q6" s="31"/>
      <c r="R6" s="51"/>
      <c r="S6" s="51"/>
    </row>
    <row r="7" ht="17.25" spans="1:19">
      <c r="A7" s="31" t="s">
        <v>19</v>
      </c>
      <c r="B7" s="36">
        <v>108000</v>
      </c>
      <c r="C7" s="36">
        <v>108000</v>
      </c>
      <c r="D7" s="36">
        <v>108000</v>
      </c>
      <c r="E7" s="37"/>
      <c r="F7" s="37">
        <v>108000</v>
      </c>
      <c r="G7" s="37">
        <v>108000</v>
      </c>
      <c r="H7" s="37">
        <v>108000</v>
      </c>
      <c r="I7" s="37">
        <v>0</v>
      </c>
      <c r="J7" s="37">
        <v>108000</v>
      </c>
      <c r="K7" s="37">
        <v>108000</v>
      </c>
      <c r="L7" s="37">
        <v>0</v>
      </c>
      <c r="M7" s="37">
        <v>0</v>
      </c>
      <c r="N7" s="47">
        <f t="shared" si="0"/>
        <v>864000</v>
      </c>
      <c r="O7" s="31" t="s">
        <v>20</v>
      </c>
      <c r="P7" s="31"/>
      <c r="Q7" s="31"/>
      <c r="R7" s="51"/>
      <c r="S7" s="51"/>
    </row>
    <row r="8" ht="17.25" spans="1:19">
      <c r="A8" s="31" t="s">
        <v>21</v>
      </c>
      <c r="B8" s="36">
        <v>1000</v>
      </c>
      <c r="C8" s="36">
        <v>1000</v>
      </c>
      <c r="D8" s="36">
        <v>1000</v>
      </c>
      <c r="E8" s="37"/>
      <c r="F8" s="37">
        <v>1000</v>
      </c>
      <c r="G8" s="37">
        <v>1000</v>
      </c>
      <c r="H8" s="37">
        <v>1000</v>
      </c>
      <c r="I8" s="37">
        <v>0</v>
      </c>
      <c r="J8" s="37">
        <v>1000</v>
      </c>
      <c r="K8" s="37">
        <v>1000</v>
      </c>
      <c r="L8" s="37">
        <v>0</v>
      </c>
      <c r="M8" s="37">
        <v>0</v>
      </c>
      <c r="N8" s="47">
        <f t="shared" si="0"/>
        <v>8000</v>
      </c>
      <c r="O8" s="31" t="s">
        <v>22</v>
      </c>
      <c r="P8" s="31"/>
      <c r="Q8" s="31"/>
      <c r="R8" s="51"/>
      <c r="S8" s="51"/>
    </row>
    <row r="9" ht="17.25" spans="1:19">
      <c r="A9" s="31" t="s">
        <v>23</v>
      </c>
      <c r="B9" s="36">
        <v>2000</v>
      </c>
      <c r="C9" s="36">
        <v>2000</v>
      </c>
      <c r="D9" s="36">
        <v>2000</v>
      </c>
      <c r="E9" s="37">
        <v>0</v>
      </c>
      <c r="F9" s="37">
        <v>2000</v>
      </c>
      <c r="G9" s="37">
        <v>2000</v>
      </c>
      <c r="H9" s="37">
        <v>2000</v>
      </c>
      <c r="I9" s="37">
        <v>0</v>
      </c>
      <c r="J9" s="37">
        <v>2000</v>
      </c>
      <c r="K9" s="37">
        <v>2000</v>
      </c>
      <c r="L9" s="37">
        <v>0</v>
      </c>
      <c r="M9" s="37">
        <v>0</v>
      </c>
      <c r="N9" s="47">
        <f t="shared" si="0"/>
        <v>16000</v>
      </c>
      <c r="O9" s="31" t="s">
        <v>24</v>
      </c>
      <c r="P9" s="31"/>
      <c r="Q9" s="31"/>
      <c r="R9" s="51"/>
      <c r="S9" s="51"/>
    </row>
    <row r="10" ht="17.25" spans="1:19">
      <c r="A10" s="31" t="s">
        <v>25</v>
      </c>
      <c r="B10" s="36">
        <v>300</v>
      </c>
      <c r="C10" s="36">
        <v>300</v>
      </c>
      <c r="D10" s="36">
        <v>300</v>
      </c>
      <c r="E10" s="36">
        <v>300</v>
      </c>
      <c r="F10" s="36">
        <v>300</v>
      </c>
      <c r="G10" s="36">
        <v>300</v>
      </c>
      <c r="H10" s="36">
        <v>300</v>
      </c>
      <c r="I10" s="36">
        <v>300</v>
      </c>
      <c r="J10" s="36">
        <v>300</v>
      </c>
      <c r="K10" s="36">
        <v>300</v>
      </c>
      <c r="L10" s="36">
        <v>300</v>
      </c>
      <c r="M10" s="36">
        <v>300</v>
      </c>
      <c r="N10" s="47">
        <f t="shared" si="0"/>
        <v>3600</v>
      </c>
      <c r="O10" s="31" t="s">
        <v>26</v>
      </c>
      <c r="P10" s="31"/>
      <c r="Q10" s="31"/>
      <c r="R10" s="51"/>
      <c r="S10" s="51"/>
    </row>
    <row r="11" ht="17.25" spans="1:19">
      <c r="A11" s="31" t="s">
        <v>27</v>
      </c>
      <c r="B11" s="36">
        <v>900</v>
      </c>
      <c r="C11" s="36">
        <v>900</v>
      </c>
      <c r="D11" s="36">
        <v>900</v>
      </c>
      <c r="E11" s="36">
        <v>900</v>
      </c>
      <c r="F11" s="36">
        <v>900</v>
      </c>
      <c r="G11" s="36">
        <v>900</v>
      </c>
      <c r="H11" s="36">
        <v>900</v>
      </c>
      <c r="I11" s="36">
        <v>900</v>
      </c>
      <c r="J11" s="36">
        <v>900</v>
      </c>
      <c r="K11" s="36">
        <v>900</v>
      </c>
      <c r="L11" s="36">
        <v>900</v>
      </c>
      <c r="M11" s="36">
        <v>900</v>
      </c>
      <c r="N11" s="47">
        <f t="shared" si="0"/>
        <v>10800</v>
      </c>
      <c r="O11" s="31" t="s">
        <v>28</v>
      </c>
      <c r="P11" s="31"/>
      <c r="Q11" s="31"/>
      <c r="R11" s="51"/>
      <c r="S11" s="51"/>
    </row>
    <row r="12" ht="17.25" spans="1:19">
      <c r="A12" s="31" t="s">
        <v>29</v>
      </c>
      <c r="B12" s="36">
        <v>0</v>
      </c>
      <c r="C12" s="36">
        <v>10000</v>
      </c>
      <c r="D12" s="36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/>
      <c r="N12" s="47">
        <f t="shared" si="0"/>
        <v>10000</v>
      </c>
      <c r="O12" s="31" t="s">
        <v>30</v>
      </c>
      <c r="P12" s="31"/>
      <c r="Q12" s="31"/>
      <c r="R12" s="51"/>
      <c r="S12" s="51"/>
    </row>
    <row r="13" ht="17.25" spans="1:19">
      <c r="A13" s="31" t="s">
        <v>31</v>
      </c>
      <c r="B13" s="36">
        <v>0</v>
      </c>
      <c r="C13" s="36">
        <v>5000</v>
      </c>
      <c r="D13" s="36">
        <v>0</v>
      </c>
      <c r="E13" s="37">
        <v>0</v>
      </c>
      <c r="F13" s="37">
        <v>0</v>
      </c>
      <c r="G13" s="37">
        <v>5000</v>
      </c>
      <c r="H13" s="37">
        <v>0</v>
      </c>
      <c r="I13" s="37">
        <v>0</v>
      </c>
      <c r="J13" s="37">
        <v>0</v>
      </c>
      <c r="K13" s="37">
        <v>5000</v>
      </c>
      <c r="L13" s="37">
        <v>0</v>
      </c>
      <c r="M13" s="37">
        <v>0</v>
      </c>
      <c r="N13" s="47">
        <f t="shared" si="0"/>
        <v>15000</v>
      </c>
      <c r="O13" s="31" t="s">
        <v>32</v>
      </c>
      <c r="P13" s="31"/>
      <c r="Q13" s="31"/>
      <c r="R13" s="51"/>
      <c r="S13" s="51"/>
    </row>
    <row r="14" ht="17.25" spans="1:19">
      <c r="A14" s="31" t="s">
        <v>33</v>
      </c>
      <c r="B14" s="36">
        <v>0</v>
      </c>
      <c r="C14" s="36">
        <v>0</v>
      </c>
      <c r="D14" s="36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47">
        <f t="shared" si="0"/>
        <v>0</v>
      </c>
      <c r="O14" s="31" t="s">
        <v>34</v>
      </c>
      <c r="P14" s="31"/>
      <c r="Q14" s="31"/>
      <c r="R14" s="51"/>
      <c r="S14" s="51"/>
    </row>
    <row r="15" ht="24.75" spans="1:23">
      <c r="A15" s="31" t="s">
        <v>35</v>
      </c>
      <c r="B15" s="36">
        <v>5000</v>
      </c>
      <c r="C15" s="36">
        <v>5000</v>
      </c>
      <c r="D15" s="36">
        <v>5000</v>
      </c>
      <c r="E15" s="36">
        <v>5000</v>
      </c>
      <c r="F15" s="36">
        <v>5000</v>
      </c>
      <c r="G15" s="36">
        <v>5000</v>
      </c>
      <c r="H15" s="36">
        <v>5000</v>
      </c>
      <c r="I15" s="36">
        <v>5000</v>
      </c>
      <c r="J15" s="36">
        <v>5000</v>
      </c>
      <c r="K15" s="36">
        <v>5000</v>
      </c>
      <c r="L15" s="37">
        <v>0</v>
      </c>
      <c r="M15" s="37">
        <v>0</v>
      </c>
      <c r="N15" s="47">
        <f t="shared" si="0"/>
        <v>50000</v>
      </c>
      <c r="O15" s="31" t="s">
        <v>36</v>
      </c>
      <c r="P15" s="31"/>
      <c r="Q15" s="31"/>
      <c r="R15" s="51"/>
      <c r="S15" s="51"/>
      <c r="W15" s="29">
        <f>36*500</f>
        <v>18000</v>
      </c>
    </row>
    <row r="16" ht="17.25" spans="1:19">
      <c r="A16" s="31" t="s">
        <v>37</v>
      </c>
      <c r="B16" s="36">
        <v>2000</v>
      </c>
      <c r="C16" s="36">
        <v>2000</v>
      </c>
      <c r="D16" s="36">
        <v>2000</v>
      </c>
      <c r="E16" s="36">
        <v>2000</v>
      </c>
      <c r="F16" s="36">
        <v>2000</v>
      </c>
      <c r="G16" s="36">
        <v>2000</v>
      </c>
      <c r="H16" s="36">
        <v>2000</v>
      </c>
      <c r="I16" s="36">
        <v>2000</v>
      </c>
      <c r="J16" s="36">
        <v>2000</v>
      </c>
      <c r="K16" s="36">
        <v>2000</v>
      </c>
      <c r="L16" s="36">
        <v>2000</v>
      </c>
      <c r="M16" s="36">
        <v>2000</v>
      </c>
      <c r="N16" s="47">
        <f t="shared" si="0"/>
        <v>24000</v>
      </c>
      <c r="O16" s="31" t="s">
        <v>38</v>
      </c>
      <c r="P16" s="31"/>
      <c r="Q16" s="31"/>
      <c r="R16" s="51"/>
      <c r="S16" s="51"/>
    </row>
    <row r="17" ht="24.75" spans="1:23">
      <c r="A17" s="31" t="s">
        <v>39</v>
      </c>
      <c r="B17" s="36">
        <v>2000</v>
      </c>
      <c r="C17" s="36">
        <v>2000</v>
      </c>
      <c r="D17" s="36">
        <v>2000</v>
      </c>
      <c r="E17" s="37">
        <v>0</v>
      </c>
      <c r="F17" s="37">
        <v>2000</v>
      </c>
      <c r="G17" s="37">
        <v>2000</v>
      </c>
      <c r="H17" s="37">
        <v>2000</v>
      </c>
      <c r="I17" s="37">
        <v>2000</v>
      </c>
      <c r="J17" s="37">
        <v>2000</v>
      </c>
      <c r="K17" s="37">
        <v>2000</v>
      </c>
      <c r="L17" s="37">
        <v>0</v>
      </c>
      <c r="M17" s="37">
        <v>0</v>
      </c>
      <c r="N17" s="47">
        <f t="shared" si="0"/>
        <v>18000</v>
      </c>
      <c r="O17" s="31" t="s">
        <v>40</v>
      </c>
      <c r="P17" s="31"/>
      <c r="Q17" s="31"/>
      <c r="R17" s="51"/>
      <c r="S17" s="51"/>
      <c r="W17" s="29">
        <f>200*36</f>
        <v>7200</v>
      </c>
    </row>
    <row r="18" ht="17.25" spans="1:19">
      <c r="A18" s="31" t="s">
        <v>41</v>
      </c>
      <c r="B18" s="36">
        <v>2000</v>
      </c>
      <c r="C18" s="36">
        <v>2000</v>
      </c>
      <c r="D18" s="36">
        <v>2000</v>
      </c>
      <c r="E18" s="37">
        <v>0</v>
      </c>
      <c r="F18" s="37">
        <v>2000</v>
      </c>
      <c r="G18" s="37">
        <v>2000</v>
      </c>
      <c r="H18" s="37">
        <v>2000</v>
      </c>
      <c r="I18" s="37">
        <v>0</v>
      </c>
      <c r="J18" s="37">
        <v>2000</v>
      </c>
      <c r="K18" s="37">
        <v>2000</v>
      </c>
      <c r="L18" s="37">
        <v>0</v>
      </c>
      <c r="M18" s="37">
        <v>0</v>
      </c>
      <c r="N18" s="47">
        <f t="shared" si="0"/>
        <v>16000</v>
      </c>
      <c r="O18" s="31" t="s">
        <v>42</v>
      </c>
      <c r="P18" s="31"/>
      <c r="Q18" s="31"/>
      <c r="R18" s="51"/>
      <c r="S18" s="51"/>
    </row>
    <row r="19" ht="17.25" spans="1:19">
      <c r="A19" s="31" t="s">
        <v>43</v>
      </c>
      <c r="B19" s="36">
        <v>2500</v>
      </c>
      <c r="C19" s="36">
        <v>2500</v>
      </c>
      <c r="D19" s="36">
        <v>2500</v>
      </c>
      <c r="E19" s="37">
        <v>2500</v>
      </c>
      <c r="F19" s="37">
        <v>2500</v>
      </c>
      <c r="G19" s="37">
        <v>2500</v>
      </c>
      <c r="H19" s="37">
        <v>2500</v>
      </c>
      <c r="I19" s="37">
        <v>2500</v>
      </c>
      <c r="J19" s="37">
        <v>2500</v>
      </c>
      <c r="K19" s="37">
        <v>2500</v>
      </c>
      <c r="L19" s="37">
        <v>2500</v>
      </c>
      <c r="M19" s="37">
        <v>2500</v>
      </c>
      <c r="N19" s="47">
        <f t="shared" si="0"/>
        <v>30000</v>
      </c>
      <c r="O19" s="31" t="s">
        <v>44</v>
      </c>
      <c r="P19" s="31"/>
      <c r="Q19" s="31"/>
      <c r="R19" s="51"/>
      <c r="S19" s="51"/>
    </row>
    <row r="20" ht="17.25" spans="1:19">
      <c r="A20" s="31" t="s">
        <v>45</v>
      </c>
      <c r="B20" s="36">
        <v>18000</v>
      </c>
      <c r="C20" s="36">
        <v>18000</v>
      </c>
      <c r="D20" s="36">
        <v>18000</v>
      </c>
      <c r="E20" s="37">
        <v>18000</v>
      </c>
      <c r="F20" s="37">
        <v>18000</v>
      </c>
      <c r="G20" s="37">
        <v>18000</v>
      </c>
      <c r="H20" s="37">
        <v>18000</v>
      </c>
      <c r="I20" s="37">
        <v>18000</v>
      </c>
      <c r="J20" s="37">
        <v>18000</v>
      </c>
      <c r="K20" s="37">
        <v>18000</v>
      </c>
      <c r="L20" s="37">
        <v>18000</v>
      </c>
      <c r="M20" s="37">
        <v>18000</v>
      </c>
      <c r="N20" s="47">
        <v>18000</v>
      </c>
      <c r="O20" s="31" t="s">
        <v>46</v>
      </c>
      <c r="P20" s="31"/>
      <c r="Q20" s="31"/>
      <c r="R20" s="51"/>
      <c r="S20" s="51"/>
    </row>
    <row r="21" ht="17.25" spans="1:19">
      <c r="A21" s="31" t="s">
        <v>47</v>
      </c>
      <c r="B21" s="36">
        <v>7200</v>
      </c>
      <c r="C21" s="36">
        <v>7200</v>
      </c>
      <c r="D21" s="36">
        <v>7200</v>
      </c>
      <c r="E21" s="37">
        <v>7200</v>
      </c>
      <c r="F21" s="37">
        <v>7200</v>
      </c>
      <c r="G21" s="37">
        <v>7200</v>
      </c>
      <c r="H21" s="37">
        <v>7200</v>
      </c>
      <c r="I21" s="37">
        <v>7200</v>
      </c>
      <c r="J21" s="37">
        <v>7200</v>
      </c>
      <c r="K21" s="37">
        <v>7200</v>
      </c>
      <c r="L21" s="37">
        <v>7200</v>
      </c>
      <c r="M21" s="37">
        <v>7200</v>
      </c>
      <c r="N21" s="47">
        <f>SUM(B21:M21)</f>
        <v>86400</v>
      </c>
      <c r="O21" s="31" t="s">
        <v>48</v>
      </c>
      <c r="P21" s="31"/>
      <c r="Q21" s="31"/>
      <c r="R21" s="51"/>
      <c r="S21" s="51"/>
    </row>
    <row r="22" ht="17.25" spans="1:19">
      <c r="A22" s="31" t="s">
        <v>49</v>
      </c>
      <c r="B22" s="36">
        <v>4000</v>
      </c>
      <c r="C22" s="36">
        <v>4000</v>
      </c>
      <c r="D22" s="36">
        <v>4000</v>
      </c>
      <c r="E22" s="37">
        <v>4000</v>
      </c>
      <c r="F22" s="37">
        <v>4000</v>
      </c>
      <c r="G22" s="37">
        <v>4000</v>
      </c>
      <c r="H22" s="37">
        <v>4000</v>
      </c>
      <c r="I22" s="37">
        <v>4000</v>
      </c>
      <c r="J22" s="37">
        <v>4000</v>
      </c>
      <c r="K22" s="37">
        <v>4000</v>
      </c>
      <c r="L22" s="37">
        <v>4000</v>
      </c>
      <c r="M22" s="37">
        <v>4000</v>
      </c>
      <c r="N22" s="47">
        <f>SUM(B22:M22)</f>
        <v>48000</v>
      </c>
      <c r="O22" s="31" t="s">
        <v>50</v>
      </c>
      <c r="P22" s="31"/>
      <c r="Q22" s="31"/>
      <c r="R22" s="51"/>
      <c r="S22" s="51"/>
    </row>
    <row r="23" s="27" customFormat="1" ht="24.75" spans="1:19">
      <c r="A23" s="38" t="s">
        <v>51</v>
      </c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47"/>
      <c r="O23" s="38"/>
      <c r="P23" s="38"/>
      <c r="Q23" s="38"/>
      <c r="R23" s="52"/>
      <c r="S23" s="52"/>
    </row>
    <row r="24" ht="17.25" spans="1:19">
      <c r="A24" s="31" t="s">
        <v>52</v>
      </c>
      <c r="B24" s="36">
        <v>21500</v>
      </c>
      <c r="C24" s="36">
        <v>21500</v>
      </c>
      <c r="D24" s="36">
        <v>21500</v>
      </c>
      <c r="E24" s="36">
        <v>0</v>
      </c>
      <c r="F24" s="36">
        <v>21500</v>
      </c>
      <c r="G24" s="36">
        <v>21500</v>
      </c>
      <c r="H24" s="36">
        <v>21500</v>
      </c>
      <c r="I24" s="36"/>
      <c r="J24" s="36">
        <v>21500</v>
      </c>
      <c r="K24" s="36">
        <v>21500</v>
      </c>
      <c r="L24" s="37"/>
      <c r="M24" s="37"/>
      <c r="N24" s="47">
        <f t="shared" ref="N24:N34" si="1">SUM(B24:M24)</f>
        <v>172000</v>
      </c>
      <c r="O24" s="31" t="s">
        <v>53</v>
      </c>
      <c r="P24" s="31"/>
      <c r="Q24" s="31"/>
      <c r="R24" s="51"/>
      <c r="S24" s="51"/>
    </row>
    <row r="25" ht="17.25" spans="1:19">
      <c r="A25" s="31" t="s">
        <v>54</v>
      </c>
      <c r="B25" s="36">
        <v>12000</v>
      </c>
      <c r="C25" s="36">
        <v>12000</v>
      </c>
      <c r="D25" s="36">
        <v>12000</v>
      </c>
      <c r="E25" s="36">
        <v>0</v>
      </c>
      <c r="F25" s="36">
        <v>12000</v>
      </c>
      <c r="G25" s="36">
        <v>12000</v>
      </c>
      <c r="H25" s="36">
        <v>12000</v>
      </c>
      <c r="I25" s="36"/>
      <c r="J25" s="36">
        <v>12000</v>
      </c>
      <c r="K25" s="36">
        <v>12000</v>
      </c>
      <c r="L25" s="37"/>
      <c r="M25" s="37"/>
      <c r="N25" s="47">
        <f t="shared" si="1"/>
        <v>96000</v>
      </c>
      <c r="O25" s="31" t="s">
        <v>53</v>
      </c>
      <c r="P25" s="31"/>
      <c r="Q25" s="31"/>
      <c r="R25" s="51"/>
      <c r="S25" s="51"/>
    </row>
    <row r="26" ht="17.25" spans="1:19">
      <c r="A26" s="31" t="s">
        <v>55</v>
      </c>
      <c r="B26" s="36">
        <v>10000</v>
      </c>
      <c r="C26" s="36">
        <v>10000</v>
      </c>
      <c r="D26" s="36">
        <v>10000</v>
      </c>
      <c r="E26" s="36">
        <v>0</v>
      </c>
      <c r="F26" s="36">
        <v>10000</v>
      </c>
      <c r="G26" s="36">
        <v>10000</v>
      </c>
      <c r="H26" s="36">
        <v>10000</v>
      </c>
      <c r="I26" s="36"/>
      <c r="J26" s="36">
        <v>10000</v>
      </c>
      <c r="K26" s="36">
        <v>10000</v>
      </c>
      <c r="L26" s="37"/>
      <c r="M26" s="37"/>
      <c r="N26" s="47">
        <f t="shared" si="1"/>
        <v>80000</v>
      </c>
      <c r="O26" s="31" t="s">
        <v>53</v>
      </c>
      <c r="P26" s="31"/>
      <c r="Q26" s="31"/>
      <c r="R26" s="51"/>
      <c r="S26" s="51"/>
    </row>
    <row r="27" ht="17.25" spans="1:19">
      <c r="A27" s="31" t="s">
        <v>56</v>
      </c>
      <c r="B27" s="36">
        <v>10000</v>
      </c>
      <c r="C27" s="36">
        <v>10000</v>
      </c>
      <c r="D27" s="36">
        <v>10000</v>
      </c>
      <c r="E27" s="36">
        <v>0</v>
      </c>
      <c r="F27" s="36">
        <v>10000</v>
      </c>
      <c r="G27" s="36">
        <v>10000</v>
      </c>
      <c r="H27" s="36">
        <v>10000</v>
      </c>
      <c r="I27" s="36"/>
      <c r="J27" s="36">
        <v>10000</v>
      </c>
      <c r="K27" s="36">
        <v>10000</v>
      </c>
      <c r="L27" s="37"/>
      <c r="M27" s="37"/>
      <c r="N27" s="47">
        <f t="shared" si="1"/>
        <v>80000</v>
      </c>
      <c r="O27" s="31" t="s">
        <v>57</v>
      </c>
      <c r="P27" s="31"/>
      <c r="Q27" s="31"/>
      <c r="R27" s="51"/>
      <c r="S27" s="51"/>
    </row>
    <row r="28" ht="17.25" spans="1:19">
      <c r="A28" s="31" t="s">
        <v>58</v>
      </c>
      <c r="B28" s="36">
        <v>8000</v>
      </c>
      <c r="C28" s="36">
        <v>8000</v>
      </c>
      <c r="D28" s="36">
        <v>8000</v>
      </c>
      <c r="E28" s="36">
        <v>0</v>
      </c>
      <c r="F28" s="36">
        <v>8000</v>
      </c>
      <c r="G28" s="36">
        <v>8000</v>
      </c>
      <c r="H28" s="36">
        <v>8000</v>
      </c>
      <c r="I28" s="36"/>
      <c r="J28" s="36">
        <v>8000</v>
      </c>
      <c r="K28" s="36">
        <v>8000</v>
      </c>
      <c r="L28" s="37"/>
      <c r="M28" s="37"/>
      <c r="N28" s="47">
        <f t="shared" si="1"/>
        <v>64000</v>
      </c>
      <c r="O28" s="31" t="s">
        <v>57</v>
      </c>
      <c r="P28" s="31"/>
      <c r="Q28" s="31"/>
      <c r="R28" s="51"/>
      <c r="S28" s="51"/>
    </row>
    <row r="29" ht="17.25" spans="1:19">
      <c r="A29" s="31" t="s">
        <v>59</v>
      </c>
      <c r="B29" s="36">
        <v>9000</v>
      </c>
      <c r="C29" s="36">
        <v>9000</v>
      </c>
      <c r="D29" s="36">
        <v>9000</v>
      </c>
      <c r="E29" s="36">
        <v>0</v>
      </c>
      <c r="F29" s="36">
        <v>9000</v>
      </c>
      <c r="G29" s="36">
        <v>9000</v>
      </c>
      <c r="H29" s="36">
        <v>9000</v>
      </c>
      <c r="I29" s="36"/>
      <c r="J29" s="36">
        <v>9000</v>
      </c>
      <c r="K29" s="36">
        <v>9000</v>
      </c>
      <c r="L29" s="37"/>
      <c r="M29" s="37"/>
      <c r="N29" s="47">
        <f t="shared" si="1"/>
        <v>72000</v>
      </c>
      <c r="O29" s="31" t="s">
        <v>60</v>
      </c>
      <c r="P29" s="31"/>
      <c r="Q29" s="31"/>
      <c r="R29" s="51"/>
      <c r="S29" s="51"/>
    </row>
    <row r="30" s="28" customFormat="1" ht="24.75" spans="1:19">
      <c r="A30" s="39" t="s">
        <v>61</v>
      </c>
      <c r="B30" s="40">
        <v>8000</v>
      </c>
      <c r="C30" s="40">
        <v>8000</v>
      </c>
      <c r="D30" s="40">
        <v>8000</v>
      </c>
      <c r="E30" s="40">
        <v>0</v>
      </c>
      <c r="F30" s="40">
        <v>8000</v>
      </c>
      <c r="G30" s="40">
        <v>8000</v>
      </c>
      <c r="H30" s="40">
        <v>8000</v>
      </c>
      <c r="I30" s="40"/>
      <c r="J30" s="37">
        <v>8000</v>
      </c>
      <c r="K30" s="37">
        <v>8000</v>
      </c>
      <c r="L30" s="37"/>
      <c r="M30" s="37"/>
      <c r="N30" s="47">
        <f t="shared" si="1"/>
        <v>64000</v>
      </c>
      <c r="O30" s="39" t="s">
        <v>62</v>
      </c>
      <c r="P30" s="39"/>
      <c r="Q30" s="39"/>
      <c r="R30" s="53"/>
      <c r="S30" s="53"/>
    </row>
    <row r="31" s="28" customFormat="1" ht="24.75" spans="1:19">
      <c r="A31" s="39" t="s">
        <v>63</v>
      </c>
      <c r="B31" s="40">
        <v>11000</v>
      </c>
      <c r="C31" s="40">
        <v>11000</v>
      </c>
      <c r="D31" s="40">
        <v>11000</v>
      </c>
      <c r="E31" s="40">
        <v>0</v>
      </c>
      <c r="F31" s="40">
        <v>11000</v>
      </c>
      <c r="G31" s="40">
        <v>11000</v>
      </c>
      <c r="H31" s="40">
        <v>11000</v>
      </c>
      <c r="I31" s="40"/>
      <c r="J31" s="40">
        <v>11000</v>
      </c>
      <c r="K31" s="40">
        <v>11000</v>
      </c>
      <c r="L31" s="37"/>
      <c r="M31" s="37"/>
      <c r="N31" s="47">
        <f t="shared" si="1"/>
        <v>88000</v>
      </c>
      <c r="O31" s="39" t="s">
        <v>64</v>
      </c>
      <c r="P31" s="39"/>
      <c r="Q31" s="39"/>
      <c r="R31" s="53"/>
      <c r="S31" s="53"/>
    </row>
    <row r="32" ht="17.25" spans="1:19">
      <c r="A32" s="31" t="s">
        <v>65</v>
      </c>
      <c r="B32" s="36">
        <v>9000</v>
      </c>
      <c r="C32" s="36">
        <v>9000</v>
      </c>
      <c r="D32" s="36">
        <v>9000</v>
      </c>
      <c r="E32" s="36">
        <v>0</v>
      </c>
      <c r="F32" s="36">
        <v>9000</v>
      </c>
      <c r="G32" s="36">
        <v>9000</v>
      </c>
      <c r="H32" s="36">
        <v>9000</v>
      </c>
      <c r="I32" s="36"/>
      <c r="J32" s="37">
        <v>7500</v>
      </c>
      <c r="K32" s="37">
        <v>7500</v>
      </c>
      <c r="L32" s="37"/>
      <c r="M32" s="37"/>
      <c r="N32" s="47">
        <f t="shared" si="1"/>
        <v>69000</v>
      </c>
      <c r="O32" s="31" t="s">
        <v>53</v>
      </c>
      <c r="P32" s="31"/>
      <c r="Q32" s="31"/>
      <c r="R32" s="51"/>
      <c r="S32" s="51"/>
    </row>
    <row r="33" ht="17.25" spans="1:19">
      <c r="A33" s="31" t="s">
        <v>66</v>
      </c>
      <c r="B33" s="36">
        <v>20000</v>
      </c>
      <c r="C33" s="36">
        <v>20000</v>
      </c>
      <c r="D33" s="36">
        <v>20000</v>
      </c>
      <c r="E33" s="36">
        <v>0</v>
      </c>
      <c r="F33" s="36">
        <v>20000</v>
      </c>
      <c r="G33" s="36">
        <v>20000</v>
      </c>
      <c r="H33" s="36">
        <v>20000</v>
      </c>
      <c r="I33" s="37"/>
      <c r="J33" s="37">
        <v>9000</v>
      </c>
      <c r="K33" s="37">
        <v>9000</v>
      </c>
      <c r="L33" s="37"/>
      <c r="M33" s="37"/>
      <c r="N33" s="47">
        <f t="shared" si="1"/>
        <v>138000</v>
      </c>
      <c r="O33" s="31" t="s">
        <v>57</v>
      </c>
      <c r="P33" s="31"/>
      <c r="Q33" s="31"/>
      <c r="R33" s="51"/>
      <c r="S33" s="51"/>
    </row>
    <row r="34" ht="17.25" spans="1:19">
      <c r="A34" s="31" t="s">
        <v>67</v>
      </c>
      <c r="B34" s="36">
        <v>12500</v>
      </c>
      <c r="C34" s="36">
        <v>12500</v>
      </c>
      <c r="D34" s="36">
        <v>12500</v>
      </c>
      <c r="E34" s="36">
        <v>0</v>
      </c>
      <c r="F34" s="36">
        <v>12500</v>
      </c>
      <c r="G34" s="36">
        <v>12500</v>
      </c>
      <c r="H34" s="36">
        <v>12500</v>
      </c>
      <c r="I34" s="37"/>
      <c r="J34" s="37">
        <v>12000</v>
      </c>
      <c r="K34" s="37">
        <v>12000</v>
      </c>
      <c r="L34" s="37"/>
      <c r="M34" s="37"/>
      <c r="N34" s="47">
        <f t="shared" si="1"/>
        <v>99000</v>
      </c>
      <c r="O34" s="31" t="s">
        <v>57</v>
      </c>
      <c r="P34" s="31"/>
      <c r="Q34" s="31"/>
      <c r="R34" s="51"/>
      <c r="S34" s="51"/>
    </row>
    <row r="35" ht="17.25" spans="1:19">
      <c r="A35" s="31" t="s">
        <v>68</v>
      </c>
      <c r="B35" s="36">
        <v>8000</v>
      </c>
      <c r="C35" s="36">
        <v>8000</v>
      </c>
      <c r="D35" s="36">
        <v>8000</v>
      </c>
      <c r="E35" s="36">
        <v>0</v>
      </c>
      <c r="F35" s="36">
        <v>8000</v>
      </c>
      <c r="G35" s="36">
        <v>8000</v>
      </c>
      <c r="H35" s="36">
        <v>8000</v>
      </c>
      <c r="I35" s="37"/>
      <c r="J35" s="37">
        <v>20000</v>
      </c>
      <c r="K35" s="37">
        <v>20000</v>
      </c>
      <c r="L35" s="37"/>
      <c r="M35" s="37"/>
      <c r="N35" s="47">
        <f t="shared" ref="N35:N37" si="2">SUM(B35:M35)</f>
        <v>88000</v>
      </c>
      <c r="O35" s="31"/>
      <c r="P35" s="31"/>
      <c r="Q35" s="31"/>
      <c r="R35" s="51"/>
      <c r="S35" s="51"/>
    </row>
    <row r="36" ht="17.25" spans="1:19">
      <c r="A36" s="31" t="s">
        <v>69</v>
      </c>
      <c r="B36" s="36">
        <v>9000</v>
      </c>
      <c r="C36" s="36">
        <v>9000</v>
      </c>
      <c r="D36" s="36">
        <v>9000</v>
      </c>
      <c r="E36" s="36">
        <v>0</v>
      </c>
      <c r="F36" s="36">
        <v>9000</v>
      </c>
      <c r="G36" s="36">
        <v>9000</v>
      </c>
      <c r="H36" s="36">
        <v>9000</v>
      </c>
      <c r="I36" s="36">
        <v>0</v>
      </c>
      <c r="J36" s="36">
        <v>9000</v>
      </c>
      <c r="K36" s="36">
        <v>9000</v>
      </c>
      <c r="L36" s="37"/>
      <c r="M36" s="37"/>
      <c r="N36" s="47">
        <f t="shared" si="2"/>
        <v>72000</v>
      </c>
      <c r="O36" s="31"/>
      <c r="P36" s="31"/>
      <c r="Q36" s="31"/>
      <c r="R36" s="51"/>
      <c r="S36" s="51"/>
    </row>
    <row r="37" ht="17.25" spans="1:19">
      <c r="A37" s="31" t="s">
        <v>70</v>
      </c>
      <c r="B37" s="36">
        <v>8000</v>
      </c>
      <c r="C37" s="36">
        <v>8000</v>
      </c>
      <c r="D37" s="36">
        <v>8000</v>
      </c>
      <c r="E37" s="36">
        <v>0</v>
      </c>
      <c r="F37" s="36">
        <v>8000</v>
      </c>
      <c r="G37" s="36">
        <v>8000</v>
      </c>
      <c r="H37" s="36">
        <v>8000</v>
      </c>
      <c r="I37" s="36">
        <v>0</v>
      </c>
      <c r="J37" s="36">
        <v>8000</v>
      </c>
      <c r="K37" s="36">
        <v>8000</v>
      </c>
      <c r="L37" s="37"/>
      <c r="M37" s="37"/>
      <c r="N37" s="47">
        <f t="shared" si="2"/>
        <v>64000</v>
      </c>
      <c r="O37" s="31"/>
      <c r="P37" s="31"/>
      <c r="Q37" s="31"/>
      <c r="R37" s="51"/>
      <c r="S37" s="51"/>
    </row>
    <row r="38" s="27" customFormat="1" ht="24.75" spans="1:19">
      <c r="A38" s="32" t="s">
        <v>71</v>
      </c>
      <c r="B38" s="41">
        <f>SUM(B6:B37)</f>
        <v>330900</v>
      </c>
      <c r="C38" s="41">
        <f t="shared" ref="C38:N38" si="3">SUM(C6:C35)</f>
        <v>308900</v>
      </c>
      <c r="D38" s="41">
        <f t="shared" si="3"/>
        <v>293900</v>
      </c>
      <c r="E38" s="42">
        <f t="shared" si="3"/>
        <v>39900</v>
      </c>
      <c r="F38" s="42">
        <f t="shared" si="3"/>
        <v>293900</v>
      </c>
      <c r="G38" s="42">
        <f t="shared" si="3"/>
        <v>298900</v>
      </c>
      <c r="H38" s="42">
        <f t="shared" si="3"/>
        <v>293900</v>
      </c>
      <c r="I38" s="42">
        <f t="shared" si="3"/>
        <v>41900</v>
      </c>
      <c r="J38" s="42">
        <f t="shared" si="3"/>
        <v>292900</v>
      </c>
      <c r="K38" s="42">
        <f t="shared" si="3"/>
        <v>297900</v>
      </c>
      <c r="L38" s="42">
        <f t="shared" si="3"/>
        <v>34900</v>
      </c>
      <c r="M38" s="42">
        <f t="shared" si="3"/>
        <v>34900</v>
      </c>
      <c r="N38" s="48">
        <f t="shared" si="3"/>
        <v>2347800</v>
      </c>
      <c r="O38" s="38"/>
      <c r="P38" s="38"/>
      <c r="Q38" s="38"/>
      <c r="R38" s="52"/>
      <c r="S38" s="52"/>
    </row>
    <row r="39" s="27" customFormat="1" ht="24.75" spans="1:19">
      <c r="A39" s="38"/>
      <c r="B39" s="43"/>
      <c r="C39" s="31"/>
      <c r="D39" s="31"/>
      <c r="E39" s="35"/>
      <c r="F39" s="35"/>
      <c r="G39" s="35"/>
      <c r="H39" s="35"/>
      <c r="I39" s="35"/>
      <c r="J39" s="35"/>
      <c r="K39" s="35"/>
      <c r="L39" s="35"/>
      <c r="M39" s="35"/>
      <c r="N39" s="44"/>
      <c r="O39" s="38"/>
      <c r="P39" s="38"/>
      <c r="Q39" s="38"/>
      <c r="R39" s="52"/>
      <c r="S39" s="52"/>
    </row>
    <row r="40" ht="24.75" spans="1:19">
      <c r="A40" s="38" t="s">
        <v>72</v>
      </c>
      <c r="B40" s="31"/>
      <c r="C40" s="31"/>
      <c r="D40" s="31"/>
      <c r="E40" s="35"/>
      <c r="F40" s="35"/>
      <c r="G40" s="35"/>
      <c r="H40" s="35"/>
      <c r="I40" s="35"/>
      <c r="J40" s="35"/>
      <c r="K40" s="35"/>
      <c r="L40" s="35"/>
      <c r="M40" s="35"/>
      <c r="N40" s="32"/>
      <c r="O40" s="31"/>
      <c r="P40" s="31"/>
      <c r="Q40" s="31"/>
      <c r="R40" s="49"/>
      <c r="S40" s="49"/>
    </row>
    <row r="41" ht="17.25" spans="1:19">
      <c r="A41" s="31" t="s">
        <v>73</v>
      </c>
      <c r="B41" s="43">
        <v>0</v>
      </c>
      <c r="C41" s="43">
        <v>0</v>
      </c>
      <c r="D41" s="43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44">
        <f t="shared" ref="N41:N46" si="4">SUM(B41:M41)</f>
        <v>0</v>
      </c>
      <c r="O41" s="31" t="s">
        <v>74</v>
      </c>
      <c r="P41" s="31"/>
      <c r="Q41" s="31"/>
      <c r="R41" s="51"/>
      <c r="S41" s="51"/>
    </row>
    <row r="42" ht="17.25" spans="1:19">
      <c r="A42" s="31" t="s">
        <v>75</v>
      </c>
      <c r="B42" s="43">
        <v>4000</v>
      </c>
      <c r="C42" s="43">
        <v>0</v>
      </c>
      <c r="D42" s="43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44">
        <f t="shared" si="4"/>
        <v>4000</v>
      </c>
      <c r="O42" s="31" t="s">
        <v>76</v>
      </c>
      <c r="P42" s="31"/>
      <c r="Q42" s="31"/>
      <c r="R42" s="51"/>
      <c r="S42" s="51"/>
    </row>
    <row r="43" ht="17.25" spans="1:19">
      <c r="A43" s="31" t="s">
        <v>77</v>
      </c>
      <c r="B43" s="43">
        <v>0</v>
      </c>
      <c r="C43" s="43">
        <v>0</v>
      </c>
      <c r="D43" s="43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44">
        <f t="shared" si="4"/>
        <v>0</v>
      </c>
      <c r="O43" s="31" t="s">
        <v>78</v>
      </c>
      <c r="P43" s="31"/>
      <c r="Q43" s="31"/>
      <c r="R43" s="51"/>
      <c r="S43" s="51"/>
    </row>
    <row r="44" ht="17.25" spans="1:19">
      <c r="A44" s="31" t="s">
        <v>79</v>
      </c>
      <c r="B44" s="43">
        <v>0</v>
      </c>
      <c r="C44" s="43">
        <v>0</v>
      </c>
      <c r="D44" s="43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44">
        <f t="shared" si="4"/>
        <v>0</v>
      </c>
      <c r="O44" s="31" t="s">
        <v>80</v>
      </c>
      <c r="P44" s="31"/>
      <c r="Q44" s="31"/>
      <c r="R44" s="51"/>
      <c r="S44" s="51"/>
    </row>
    <row r="45" ht="17.25" spans="1:19">
      <c r="A45" s="31" t="s">
        <v>81</v>
      </c>
      <c r="B45" s="43">
        <v>300000</v>
      </c>
      <c r="C45" s="43">
        <v>0</v>
      </c>
      <c r="D45" s="43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44">
        <f t="shared" si="4"/>
        <v>300000</v>
      </c>
      <c r="O45" s="31" t="s">
        <v>82</v>
      </c>
      <c r="P45" s="31"/>
      <c r="Q45" s="31"/>
      <c r="R45" s="51"/>
      <c r="S45" s="51"/>
    </row>
    <row r="46" ht="17.25" spans="1:19">
      <c r="A46" s="31" t="s">
        <v>83</v>
      </c>
      <c r="B46" s="43">
        <v>4500</v>
      </c>
      <c r="C46" s="43">
        <v>0</v>
      </c>
      <c r="D46" s="43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44">
        <f t="shared" si="4"/>
        <v>4500</v>
      </c>
      <c r="O46" s="31" t="s">
        <v>84</v>
      </c>
      <c r="P46" s="31"/>
      <c r="Q46" s="31"/>
      <c r="R46" s="51"/>
      <c r="S46" s="51"/>
    </row>
    <row r="47" ht="17.25" spans="1:19">
      <c r="A47" s="31"/>
      <c r="B47" s="43"/>
      <c r="C47" s="43"/>
      <c r="D47" s="43"/>
      <c r="E47" s="35"/>
      <c r="F47" s="35"/>
      <c r="G47" s="35"/>
      <c r="H47" s="35"/>
      <c r="I47" s="35"/>
      <c r="J47" s="35"/>
      <c r="K47" s="35"/>
      <c r="L47" s="35"/>
      <c r="M47" s="35"/>
      <c r="N47" s="44"/>
      <c r="O47" s="31"/>
      <c r="P47" s="31"/>
      <c r="Q47" s="31"/>
      <c r="R47" s="51"/>
      <c r="S47" s="51"/>
    </row>
    <row r="48" s="27" customFormat="1" ht="24.75" spans="1:19">
      <c r="A48" s="38" t="s">
        <v>71</v>
      </c>
      <c r="B48" s="44">
        <f>SUM(B41:B47)</f>
        <v>308500</v>
      </c>
      <c r="C48" s="44">
        <f t="shared" ref="C48:N48" si="5">SUM(C41:C47)</f>
        <v>0</v>
      </c>
      <c r="D48" s="44">
        <f t="shared" si="5"/>
        <v>0</v>
      </c>
      <c r="E48" s="44">
        <f t="shared" si="5"/>
        <v>0</v>
      </c>
      <c r="F48" s="44">
        <f t="shared" si="5"/>
        <v>0</v>
      </c>
      <c r="G48" s="44">
        <f t="shared" si="5"/>
        <v>0</v>
      </c>
      <c r="H48" s="44">
        <f t="shared" si="5"/>
        <v>0</v>
      </c>
      <c r="I48" s="44">
        <f t="shared" si="5"/>
        <v>0</v>
      </c>
      <c r="J48" s="44">
        <f t="shared" si="5"/>
        <v>0</v>
      </c>
      <c r="K48" s="44">
        <f t="shared" si="5"/>
        <v>0</v>
      </c>
      <c r="L48" s="44">
        <f t="shared" si="5"/>
        <v>0</v>
      </c>
      <c r="M48" s="44">
        <f t="shared" si="5"/>
        <v>0</v>
      </c>
      <c r="N48" s="48">
        <f t="shared" si="5"/>
        <v>308500</v>
      </c>
      <c r="O48" s="38"/>
      <c r="P48" s="38"/>
      <c r="Q48" s="38"/>
      <c r="R48" s="50"/>
      <c r="S48" s="50"/>
    </row>
    <row r="49" s="27" customFormat="1" ht="24.75" spans="1:19">
      <c r="A49" s="38"/>
      <c r="B49" s="43"/>
      <c r="C49" s="31"/>
      <c r="D49" s="31"/>
      <c r="E49" s="35"/>
      <c r="F49" s="35"/>
      <c r="G49" s="35"/>
      <c r="H49" s="35"/>
      <c r="I49" s="35"/>
      <c r="J49" s="35"/>
      <c r="K49" s="35"/>
      <c r="L49" s="35"/>
      <c r="M49" s="35"/>
      <c r="N49" s="44"/>
      <c r="O49" s="38"/>
      <c r="P49" s="38"/>
      <c r="Q49" s="38"/>
      <c r="R49" s="50"/>
      <c r="S49" s="50"/>
    </row>
    <row r="50" s="27" customFormat="1" ht="24.75" spans="1:19">
      <c r="A50" s="32" t="s">
        <v>85</v>
      </c>
      <c r="B50" s="45">
        <f>B38+B48</f>
        <v>639400</v>
      </c>
      <c r="C50" s="45">
        <f t="shared" ref="C50:M50" si="6">C38+C48</f>
        <v>308900</v>
      </c>
      <c r="D50" s="45">
        <f t="shared" si="6"/>
        <v>293900</v>
      </c>
      <c r="E50" s="45">
        <f t="shared" si="6"/>
        <v>39900</v>
      </c>
      <c r="F50" s="45">
        <f t="shared" si="6"/>
        <v>293900</v>
      </c>
      <c r="G50" s="45">
        <f t="shared" si="6"/>
        <v>298900</v>
      </c>
      <c r="H50" s="45">
        <f t="shared" si="6"/>
        <v>293900</v>
      </c>
      <c r="I50" s="45">
        <f t="shared" si="6"/>
        <v>41900</v>
      </c>
      <c r="J50" s="45">
        <f t="shared" si="6"/>
        <v>292900</v>
      </c>
      <c r="K50" s="45">
        <f t="shared" si="6"/>
        <v>297900</v>
      </c>
      <c r="L50" s="45">
        <f t="shared" si="6"/>
        <v>34900</v>
      </c>
      <c r="M50" s="45">
        <f t="shared" si="6"/>
        <v>34900</v>
      </c>
      <c r="N50" s="48">
        <f>SUM(B50:M50)</f>
        <v>2871300</v>
      </c>
      <c r="O50" s="38"/>
      <c r="P50" s="38"/>
      <c r="Q50" s="38"/>
      <c r="R50" s="50"/>
      <c r="S50" s="50"/>
    </row>
    <row r="51" ht="15.75" spans="1:1">
      <c r="A51" s="31"/>
    </row>
    <row r="52" ht="15" spans="1:1">
      <c r="A52" s="31"/>
    </row>
    <row r="56" spans="6:6">
      <c r="F56">
        <f>4000*18</f>
        <v>72000</v>
      </c>
    </row>
  </sheetData>
  <mergeCells count="2">
    <mergeCell ref="A1:Q1"/>
    <mergeCell ref="A2:Q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N13" sqref="N13"/>
    </sheetView>
  </sheetViews>
  <sheetFormatPr defaultColWidth="9.14285714285714" defaultRowHeight="15"/>
  <cols>
    <col min="2" max="3" width="12.1428571428571" customWidth="1"/>
    <col min="4" max="4" width="15.1428571428571" customWidth="1"/>
    <col min="5" max="5" width="16.2857142857143" customWidth="1"/>
    <col min="6" max="6" width="13.2857142857143" customWidth="1"/>
    <col min="7" max="7" width="15.7142857142857" customWidth="1"/>
    <col min="8" max="8" width="13.8571428571429" customWidth="1"/>
    <col min="9" max="9" width="18.4285714285714" customWidth="1"/>
    <col min="10" max="10" width="16.8571428571429" customWidth="1"/>
  </cols>
  <sheetData>
    <row r="1" ht="21.75" spans="1:7">
      <c r="A1" s="54" t="s">
        <v>86</v>
      </c>
      <c r="B1" s="54"/>
      <c r="C1" s="54"/>
      <c r="D1" s="54"/>
      <c r="E1" s="54"/>
      <c r="F1" s="54"/>
      <c r="G1" s="54"/>
    </row>
    <row r="2" ht="16.5" spans="1:10">
      <c r="A2" s="34"/>
      <c r="B2" s="34" t="s">
        <v>87</v>
      </c>
      <c r="C2" s="34" t="s">
        <v>88</v>
      </c>
      <c r="D2" s="34" t="s">
        <v>89</v>
      </c>
      <c r="E2" s="34" t="s">
        <v>90</v>
      </c>
      <c r="F2" s="34" t="s">
        <v>91</v>
      </c>
      <c r="G2" s="34" t="s">
        <v>92</v>
      </c>
      <c r="H2" s="55" t="s">
        <v>93</v>
      </c>
      <c r="I2" s="55" t="s">
        <v>94</v>
      </c>
      <c r="J2" s="55" t="s">
        <v>95</v>
      </c>
    </row>
    <row r="3" ht="15.75"/>
    <row r="4" spans="1:10">
      <c r="A4" s="56" t="s">
        <v>96</v>
      </c>
      <c r="B4" s="56">
        <v>46</v>
      </c>
      <c r="C4" s="57">
        <v>5600</v>
      </c>
      <c r="D4" s="37">
        <v>2800</v>
      </c>
      <c r="E4" s="57">
        <v>2800</v>
      </c>
      <c r="F4" s="37">
        <f t="shared" ref="F4:F13" si="0">SUM(C4:E4)</f>
        <v>11200</v>
      </c>
      <c r="G4" s="37">
        <f>B4*F4</f>
        <v>515200</v>
      </c>
      <c r="H4" s="58">
        <f>G4*60%</f>
        <v>309120</v>
      </c>
      <c r="I4" s="58">
        <f>G4*20%</f>
        <v>103040</v>
      </c>
      <c r="J4" s="58">
        <f>I4</f>
        <v>103040</v>
      </c>
    </row>
    <row r="5" spans="1:10">
      <c r="A5" s="56" t="s">
        <v>97</v>
      </c>
      <c r="B5" s="56">
        <v>22</v>
      </c>
      <c r="C5" s="57">
        <v>5600</v>
      </c>
      <c r="D5" s="37">
        <v>2800</v>
      </c>
      <c r="E5" s="57">
        <v>2800</v>
      </c>
      <c r="F5" s="37">
        <f t="shared" si="0"/>
        <v>11200</v>
      </c>
      <c r="G5" s="37">
        <f t="shared" ref="G5:G13" si="1">B5*F5</f>
        <v>246400</v>
      </c>
      <c r="H5" s="58">
        <f t="shared" ref="H5:H13" si="2">G5*60%</f>
        <v>147840</v>
      </c>
      <c r="I5" s="58">
        <f t="shared" ref="I5:I13" si="3">G5*20%</f>
        <v>49280</v>
      </c>
      <c r="J5" s="58">
        <f t="shared" ref="J5:J13" si="4">I5</f>
        <v>49280</v>
      </c>
    </row>
    <row r="6" spans="1:10">
      <c r="A6" s="56" t="s">
        <v>98</v>
      </c>
      <c r="B6" s="56">
        <v>33</v>
      </c>
      <c r="C6" s="57">
        <v>5600</v>
      </c>
      <c r="D6" s="37">
        <v>2800</v>
      </c>
      <c r="E6" s="57">
        <v>2800</v>
      </c>
      <c r="F6" s="37">
        <f t="shared" si="0"/>
        <v>11200</v>
      </c>
      <c r="G6" s="37">
        <f t="shared" si="1"/>
        <v>369600</v>
      </c>
      <c r="H6" s="58">
        <f t="shared" si="2"/>
        <v>221760</v>
      </c>
      <c r="I6" s="58">
        <f t="shared" si="3"/>
        <v>73920</v>
      </c>
      <c r="J6" s="58">
        <f t="shared" si="4"/>
        <v>73920</v>
      </c>
    </row>
    <row r="7" spans="1:10">
      <c r="A7" s="56" t="s">
        <v>99</v>
      </c>
      <c r="B7" s="56">
        <v>40</v>
      </c>
      <c r="C7" s="57">
        <v>6600</v>
      </c>
      <c r="D7" s="37">
        <v>4800</v>
      </c>
      <c r="E7" s="57">
        <v>4800</v>
      </c>
      <c r="F7" s="37">
        <f t="shared" si="0"/>
        <v>16200</v>
      </c>
      <c r="G7" s="37">
        <f t="shared" si="1"/>
        <v>648000</v>
      </c>
      <c r="H7" s="58">
        <f t="shared" si="2"/>
        <v>388800</v>
      </c>
      <c r="I7" s="58">
        <f t="shared" si="3"/>
        <v>129600</v>
      </c>
      <c r="J7" s="58">
        <f t="shared" si="4"/>
        <v>129600</v>
      </c>
    </row>
    <row r="8" spans="1:10">
      <c r="A8" s="56" t="s">
        <v>100</v>
      </c>
      <c r="B8" s="56">
        <v>38</v>
      </c>
      <c r="C8" s="57">
        <v>6600</v>
      </c>
      <c r="D8" s="37">
        <v>4800</v>
      </c>
      <c r="E8" s="57">
        <v>4800</v>
      </c>
      <c r="F8" s="37">
        <f t="shared" si="0"/>
        <v>16200</v>
      </c>
      <c r="G8" s="37">
        <f t="shared" si="1"/>
        <v>615600</v>
      </c>
      <c r="H8" s="58">
        <f t="shared" si="2"/>
        <v>369360</v>
      </c>
      <c r="I8" s="58">
        <f t="shared" si="3"/>
        <v>123120</v>
      </c>
      <c r="J8" s="58">
        <f t="shared" si="4"/>
        <v>123120</v>
      </c>
    </row>
    <row r="9" spans="1:10">
      <c r="A9" s="56" t="s">
        <v>101</v>
      </c>
      <c r="B9" s="56">
        <v>32</v>
      </c>
      <c r="C9" s="57">
        <v>6600</v>
      </c>
      <c r="D9" s="37">
        <v>4800</v>
      </c>
      <c r="E9" s="57">
        <v>4800</v>
      </c>
      <c r="F9" s="37">
        <f t="shared" si="0"/>
        <v>16200</v>
      </c>
      <c r="G9" s="37">
        <f t="shared" si="1"/>
        <v>518400</v>
      </c>
      <c r="H9" s="58">
        <f t="shared" si="2"/>
        <v>311040</v>
      </c>
      <c r="I9" s="58">
        <f t="shared" si="3"/>
        <v>103680</v>
      </c>
      <c r="J9" s="58">
        <f t="shared" si="4"/>
        <v>103680</v>
      </c>
    </row>
    <row r="10" spans="1:10">
      <c r="A10" s="56" t="s">
        <v>102</v>
      </c>
      <c r="B10" s="56">
        <v>17</v>
      </c>
      <c r="C10" s="57">
        <v>6600</v>
      </c>
      <c r="D10" s="37">
        <v>4800</v>
      </c>
      <c r="E10" s="57">
        <v>4800</v>
      </c>
      <c r="F10" s="37">
        <f t="shared" si="0"/>
        <v>16200</v>
      </c>
      <c r="G10" s="37">
        <f t="shared" si="1"/>
        <v>275400</v>
      </c>
      <c r="H10" s="58">
        <f t="shared" si="2"/>
        <v>165240</v>
      </c>
      <c r="I10" s="58">
        <f t="shared" si="3"/>
        <v>55080</v>
      </c>
      <c r="J10" s="58">
        <f t="shared" si="4"/>
        <v>55080</v>
      </c>
    </row>
    <row r="11" spans="1:10">
      <c r="A11" s="56" t="s">
        <v>103</v>
      </c>
      <c r="B11" s="56">
        <v>28</v>
      </c>
      <c r="C11" s="57">
        <v>6600</v>
      </c>
      <c r="D11" s="37">
        <v>4800</v>
      </c>
      <c r="E11" s="57">
        <v>4800</v>
      </c>
      <c r="F11" s="37">
        <f t="shared" si="0"/>
        <v>16200</v>
      </c>
      <c r="G11" s="37">
        <f t="shared" si="1"/>
        <v>453600</v>
      </c>
      <c r="H11" s="58">
        <f t="shared" si="2"/>
        <v>272160</v>
      </c>
      <c r="I11" s="58">
        <f t="shared" si="3"/>
        <v>90720</v>
      </c>
      <c r="J11" s="58">
        <f t="shared" si="4"/>
        <v>90720</v>
      </c>
    </row>
    <row r="12" spans="1:10">
      <c r="A12" s="56" t="s">
        <v>104</v>
      </c>
      <c r="B12" s="56">
        <v>21</v>
      </c>
      <c r="C12" s="57">
        <v>6600</v>
      </c>
      <c r="D12" s="37">
        <v>4800</v>
      </c>
      <c r="E12" s="57">
        <v>4800</v>
      </c>
      <c r="F12" s="37">
        <f t="shared" si="0"/>
        <v>16200</v>
      </c>
      <c r="G12" s="37">
        <f t="shared" si="1"/>
        <v>340200</v>
      </c>
      <c r="H12" s="58">
        <f t="shared" si="2"/>
        <v>204120</v>
      </c>
      <c r="I12" s="58">
        <f t="shared" si="3"/>
        <v>68040</v>
      </c>
      <c r="J12" s="58">
        <f t="shared" si="4"/>
        <v>68040</v>
      </c>
    </row>
    <row r="13" ht="15.75" spans="1:10">
      <c r="A13" s="59" t="s">
        <v>105</v>
      </c>
      <c r="B13" s="59">
        <v>13</v>
      </c>
      <c r="C13" s="57">
        <v>10000</v>
      </c>
      <c r="D13" s="37">
        <v>8700</v>
      </c>
      <c r="E13" s="57">
        <v>8700</v>
      </c>
      <c r="F13" s="37">
        <f t="shared" si="0"/>
        <v>27400</v>
      </c>
      <c r="G13" s="37">
        <f t="shared" si="1"/>
        <v>356200</v>
      </c>
      <c r="H13" s="58">
        <f t="shared" si="2"/>
        <v>213720</v>
      </c>
      <c r="I13" s="58">
        <f t="shared" si="3"/>
        <v>71240</v>
      </c>
      <c r="J13" s="58">
        <f t="shared" si="4"/>
        <v>71240</v>
      </c>
    </row>
    <row r="14" ht="16.5" spans="1:10">
      <c r="A14" s="32" t="s">
        <v>71</v>
      </c>
      <c r="B14" s="32"/>
      <c r="C14" s="47">
        <f>SUM(C4:C13)</f>
        <v>66400</v>
      </c>
      <c r="D14" s="47">
        <f t="shared" ref="D14:H14" si="5">SUM(D4:D13)</f>
        <v>45900</v>
      </c>
      <c r="E14" s="47">
        <f t="shared" si="5"/>
        <v>45900</v>
      </c>
      <c r="F14" s="47">
        <f t="shared" si="5"/>
        <v>158200</v>
      </c>
      <c r="G14" s="47">
        <f t="shared" si="5"/>
        <v>4338600</v>
      </c>
      <c r="H14" s="47">
        <f t="shared" si="5"/>
        <v>2603160</v>
      </c>
      <c r="I14" s="47">
        <f t="shared" ref="I14" si="6">SUM(I4:I13)</f>
        <v>867720</v>
      </c>
      <c r="J14" s="47">
        <f t="shared" ref="J14" si="7">SUM(J4:J13)</f>
        <v>867720</v>
      </c>
    </row>
    <row r="15" ht="15.75"/>
    <row r="16" ht="21.75" spans="1:7">
      <c r="A16" s="60" t="s">
        <v>106</v>
      </c>
      <c r="B16" s="60"/>
      <c r="C16" s="60"/>
      <c r="D16" s="60"/>
      <c r="E16" s="60"/>
      <c r="F16" s="60"/>
      <c r="G16" s="60"/>
    </row>
    <row r="17" ht="16.5" spans="1:10">
      <c r="A17" s="32"/>
      <c r="B17" s="34"/>
      <c r="C17" s="34" t="s">
        <v>88</v>
      </c>
      <c r="D17" s="34" t="s">
        <v>89</v>
      </c>
      <c r="E17" s="34" t="s">
        <v>90</v>
      </c>
      <c r="F17" s="34" t="s">
        <v>107</v>
      </c>
      <c r="G17" s="34" t="s">
        <v>108</v>
      </c>
      <c r="H17" s="55" t="s">
        <v>93</v>
      </c>
      <c r="I17" s="55" t="s">
        <v>94</v>
      </c>
      <c r="J17" s="55" t="s">
        <v>95</v>
      </c>
    </row>
    <row r="18" ht="15.75" spans="1:10">
      <c r="A18" s="56" t="s">
        <v>96</v>
      </c>
      <c r="B18" s="56">
        <v>25</v>
      </c>
      <c r="C18" s="37">
        <v>6400</v>
      </c>
      <c r="D18" s="37">
        <v>5700</v>
      </c>
      <c r="E18" s="37">
        <v>5700</v>
      </c>
      <c r="F18" s="37">
        <f>SUM(C18:E18)</f>
        <v>17800</v>
      </c>
      <c r="G18" s="37">
        <f>F18*B18</f>
        <v>445000</v>
      </c>
      <c r="H18" s="58">
        <f>G18*60%</f>
        <v>267000</v>
      </c>
      <c r="I18" s="58">
        <f>G18*20%</f>
        <v>89000</v>
      </c>
      <c r="J18" s="58">
        <f>I18</f>
        <v>89000</v>
      </c>
    </row>
    <row r="19" spans="1:10">
      <c r="A19" s="56" t="s">
        <v>97</v>
      </c>
      <c r="B19" s="56">
        <v>40</v>
      </c>
      <c r="C19" s="37">
        <v>6400</v>
      </c>
      <c r="D19" s="37">
        <v>5700</v>
      </c>
      <c r="E19" s="37">
        <v>5700</v>
      </c>
      <c r="F19" s="37">
        <f t="shared" ref="F19:F27" si="8">SUM(C19:E19)</f>
        <v>17800</v>
      </c>
      <c r="G19" s="37">
        <f t="shared" ref="G19:G27" si="9">F19*B19</f>
        <v>712000</v>
      </c>
      <c r="H19" s="58">
        <f t="shared" ref="H19:H27" si="10">G19*60%</f>
        <v>427200</v>
      </c>
      <c r="I19" s="58">
        <f t="shared" ref="I19:I27" si="11">G19*20%</f>
        <v>142400</v>
      </c>
      <c r="J19" s="58">
        <f t="shared" ref="J19:J27" si="12">I19</f>
        <v>142400</v>
      </c>
    </row>
    <row r="20" spans="1:10">
      <c r="A20" s="56" t="s">
        <v>98</v>
      </c>
      <c r="B20" s="56">
        <v>26</v>
      </c>
      <c r="C20" s="37">
        <v>6400</v>
      </c>
      <c r="D20" s="37">
        <v>5700</v>
      </c>
      <c r="E20" s="37">
        <v>5700</v>
      </c>
      <c r="F20" s="37">
        <f t="shared" si="8"/>
        <v>17800</v>
      </c>
      <c r="G20" s="37">
        <f t="shared" si="9"/>
        <v>462800</v>
      </c>
      <c r="H20" s="58">
        <f t="shared" si="10"/>
        <v>277680</v>
      </c>
      <c r="I20" s="58">
        <f t="shared" si="11"/>
        <v>92560</v>
      </c>
      <c r="J20" s="58">
        <f t="shared" si="12"/>
        <v>92560</v>
      </c>
    </row>
    <row r="21" spans="1:10">
      <c r="A21" s="56" t="s">
        <v>99</v>
      </c>
      <c r="B21" s="56">
        <v>43</v>
      </c>
      <c r="C21" s="37">
        <v>7300</v>
      </c>
      <c r="D21" s="37">
        <v>6600</v>
      </c>
      <c r="E21" s="37">
        <v>6600</v>
      </c>
      <c r="F21" s="37">
        <f t="shared" si="8"/>
        <v>20500</v>
      </c>
      <c r="G21" s="37">
        <f t="shared" si="9"/>
        <v>881500</v>
      </c>
      <c r="H21" s="58">
        <f t="shared" si="10"/>
        <v>528900</v>
      </c>
      <c r="I21" s="58">
        <f t="shared" si="11"/>
        <v>176300</v>
      </c>
      <c r="J21" s="58">
        <f t="shared" si="12"/>
        <v>176300</v>
      </c>
    </row>
    <row r="22" spans="1:10">
      <c r="A22" s="56" t="s">
        <v>100</v>
      </c>
      <c r="B22" s="56">
        <v>30</v>
      </c>
      <c r="C22" s="37">
        <v>7300</v>
      </c>
      <c r="D22" s="37">
        <v>6600</v>
      </c>
      <c r="E22" s="37">
        <v>6600</v>
      </c>
      <c r="F22" s="37">
        <f t="shared" si="8"/>
        <v>20500</v>
      </c>
      <c r="G22" s="37">
        <f t="shared" si="9"/>
        <v>615000</v>
      </c>
      <c r="H22" s="58">
        <f t="shared" si="10"/>
        <v>369000</v>
      </c>
      <c r="I22" s="58">
        <f t="shared" si="11"/>
        <v>123000</v>
      </c>
      <c r="J22" s="58">
        <f t="shared" si="12"/>
        <v>123000</v>
      </c>
    </row>
    <row r="23" spans="1:10">
      <c r="A23" s="56" t="s">
        <v>101</v>
      </c>
      <c r="B23" s="56">
        <v>56</v>
      </c>
      <c r="C23" s="37">
        <v>7300</v>
      </c>
      <c r="D23" s="37">
        <v>6600</v>
      </c>
      <c r="E23" s="37">
        <v>6600</v>
      </c>
      <c r="F23" s="37">
        <f t="shared" si="8"/>
        <v>20500</v>
      </c>
      <c r="G23" s="37">
        <f t="shared" si="9"/>
        <v>1148000</v>
      </c>
      <c r="H23" s="58">
        <f t="shared" si="10"/>
        <v>688800</v>
      </c>
      <c r="I23" s="58">
        <f t="shared" si="11"/>
        <v>229600</v>
      </c>
      <c r="J23" s="58">
        <f t="shared" si="12"/>
        <v>229600</v>
      </c>
    </row>
    <row r="24" spans="1:10">
      <c r="A24" s="56" t="s">
        <v>102</v>
      </c>
      <c r="B24" s="56">
        <v>35</v>
      </c>
      <c r="C24" s="37">
        <v>7300</v>
      </c>
      <c r="D24" s="37">
        <v>6600</v>
      </c>
      <c r="E24" s="37">
        <v>6600</v>
      </c>
      <c r="F24" s="37">
        <f t="shared" si="8"/>
        <v>20500</v>
      </c>
      <c r="G24" s="37">
        <f t="shared" si="9"/>
        <v>717500</v>
      </c>
      <c r="H24" s="58">
        <f t="shared" si="10"/>
        <v>430500</v>
      </c>
      <c r="I24" s="58">
        <f t="shared" si="11"/>
        <v>143500</v>
      </c>
      <c r="J24" s="58">
        <f t="shared" si="12"/>
        <v>143500</v>
      </c>
    </row>
    <row r="25" spans="1:10">
      <c r="A25" s="56" t="s">
        <v>103</v>
      </c>
      <c r="B25" s="56">
        <v>44</v>
      </c>
      <c r="C25" s="37">
        <v>7300</v>
      </c>
      <c r="D25" s="37">
        <v>6600</v>
      </c>
      <c r="E25" s="37">
        <v>6600</v>
      </c>
      <c r="F25" s="37">
        <f t="shared" si="8"/>
        <v>20500</v>
      </c>
      <c r="G25" s="37">
        <f t="shared" si="9"/>
        <v>902000</v>
      </c>
      <c r="H25" s="58">
        <f t="shared" si="10"/>
        <v>541200</v>
      </c>
      <c r="I25" s="58">
        <f t="shared" si="11"/>
        <v>180400</v>
      </c>
      <c r="J25" s="58">
        <f t="shared" si="12"/>
        <v>180400</v>
      </c>
    </row>
    <row r="26" spans="1:10">
      <c r="A26" s="56" t="s">
        <v>104</v>
      </c>
      <c r="B26" s="56">
        <v>37</v>
      </c>
      <c r="C26" s="37">
        <v>7300</v>
      </c>
      <c r="D26" s="37">
        <v>6600</v>
      </c>
      <c r="E26" s="37">
        <v>6600</v>
      </c>
      <c r="F26" s="37">
        <f t="shared" si="8"/>
        <v>20500</v>
      </c>
      <c r="G26" s="37">
        <f t="shared" si="9"/>
        <v>758500</v>
      </c>
      <c r="H26" s="58">
        <f t="shared" si="10"/>
        <v>455100</v>
      </c>
      <c r="I26" s="58">
        <f t="shared" si="11"/>
        <v>151700</v>
      </c>
      <c r="J26" s="58">
        <f t="shared" si="12"/>
        <v>151700</v>
      </c>
    </row>
    <row r="27" spans="1:10">
      <c r="A27" s="56" t="s">
        <v>105</v>
      </c>
      <c r="B27" s="56">
        <v>5</v>
      </c>
      <c r="C27" s="37">
        <v>10000</v>
      </c>
      <c r="D27" s="37">
        <v>10000</v>
      </c>
      <c r="E27" s="37">
        <v>10000</v>
      </c>
      <c r="F27" s="37">
        <f t="shared" si="8"/>
        <v>30000</v>
      </c>
      <c r="G27" s="37">
        <f t="shared" si="9"/>
        <v>150000</v>
      </c>
      <c r="H27" s="58">
        <f t="shared" si="10"/>
        <v>90000</v>
      </c>
      <c r="I27" s="58">
        <f t="shared" si="11"/>
        <v>30000</v>
      </c>
      <c r="J27" s="58">
        <f t="shared" si="12"/>
        <v>30000</v>
      </c>
    </row>
    <row r="28" ht="15.75" spans="1:7">
      <c r="A28" s="56"/>
      <c r="B28" s="56"/>
      <c r="C28" s="37"/>
      <c r="D28" s="37"/>
      <c r="E28" s="37"/>
      <c r="F28" s="37"/>
      <c r="G28" s="37"/>
    </row>
    <row r="29" ht="16.5" spans="1:10">
      <c r="A29" s="32" t="s">
        <v>71</v>
      </c>
      <c r="B29" s="32">
        <f t="shared" ref="B29" si="13">SUM(B18:B28)</f>
        <v>341</v>
      </c>
      <c r="C29" s="61">
        <f>SUM(C18:C27)</f>
        <v>73000</v>
      </c>
      <c r="D29" s="61">
        <f t="shared" ref="D29:J29" si="14">SUM(D18:D27)</f>
        <v>66700</v>
      </c>
      <c r="E29" s="61">
        <f t="shared" si="14"/>
        <v>66700</v>
      </c>
      <c r="F29" s="61">
        <f t="shared" si="14"/>
        <v>206400</v>
      </c>
      <c r="G29" s="61">
        <f t="shared" si="14"/>
        <v>6792300</v>
      </c>
      <c r="H29" s="61">
        <f t="shared" si="14"/>
        <v>4075380</v>
      </c>
      <c r="I29" s="61">
        <f t="shared" si="14"/>
        <v>1358460</v>
      </c>
      <c r="J29" s="61">
        <f t="shared" si="14"/>
        <v>1358460</v>
      </c>
    </row>
    <row r="30" ht="15.75"/>
    <row r="31" spans="1:7">
      <c r="A31" s="62" t="s">
        <v>109</v>
      </c>
      <c r="B31" s="63"/>
      <c r="C31" s="63"/>
      <c r="D31" s="63"/>
      <c r="G31" s="64">
        <f>G14+G29</f>
        <v>11130900</v>
      </c>
    </row>
  </sheetData>
  <mergeCells count="2">
    <mergeCell ref="A1:G1"/>
    <mergeCell ref="A16:G16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topLeftCell="A12" workbookViewId="0">
      <selection activeCell="N52" sqref="N52"/>
    </sheetView>
  </sheetViews>
  <sheetFormatPr defaultColWidth="9.14285714285714" defaultRowHeight="23.25"/>
  <cols>
    <col min="1" max="1" width="32.5714285714286" style="29" customWidth="1"/>
    <col min="2" max="4" width="11.5714285714286" style="29" customWidth="1"/>
    <col min="5" max="13" width="11.7142857142857" customWidth="1"/>
    <col min="14" max="14" width="14.7142857142857" style="29" customWidth="1"/>
    <col min="15" max="16" width="9.14285714285714" style="29"/>
    <col min="17" max="17" width="12.8571428571429" style="29" customWidth="1"/>
    <col min="18" max="22" width="9.14285714285714" style="29"/>
    <col min="23" max="23" width="9.85714285714286" style="29" customWidth="1"/>
    <col min="24" max="16384" width="9.14285714285714" style="29"/>
  </cols>
  <sheetData>
    <row r="1" ht="27" spans="1:19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49"/>
      <c r="S1" s="49"/>
    </row>
    <row r="2" ht="27" spans="1:1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49"/>
      <c r="S2" s="49"/>
    </row>
    <row r="3" ht="24" spans="1:19">
      <c r="A3" s="31"/>
      <c r="B3" s="31"/>
      <c r="C3" s="31"/>
      <c r="D3" s="31"/>
      <c r="N3" s="31"/>
      <c r="O3" s="31"/>
      <c r="P3" s="31"/>
      <c r="Q3" s="31"/>
      <c r="R3" s="49"/>
      <c r="S3" s="49"/>
    </row>
    <row r="4" s="27" customFormat="1" ht="24.75" spans="1:19">
      <c r="A4" s="32" t="s">
        <v>2</v>
      </c>
      <c r="B4" s="33" t="s">
        <v>3</v>
      </c>
      <c r="C4" s="32" t="s">
        <v>4</v>
      </c>
      <c r="D4" s="32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2" t="s">
        <v>15</v>
      </c>
      <c r="O4" s="32" t="s">
        <v>16</v>
      </c>
      <c r="P4" s="32"/>
      <c r="Q4" s="32"/>
      <c r="R4" s="50"/>
      <c r="S4" s="50"/>
    </row>
    <row r="5" ht="24.75" spans="1:19">
      <c r="A5" s="31"/>
      <c r="B5" s="31"/>
      <c r="C5" s="31"/>
      <c r="D5" s="31"/>
      <c r="E5" s="35"/>
      <c r="F5" s="35"/>
      <c r="G5" s="35"/>
      <c r="H5" s="35"/>
      <c r="I5" s="35"/>
      <c r="J5" s="35"/>
      <c r="K5" s="35"/>
      <c r="L5" s="35"/>
      <c r="M5" s="35"/>
      <c r="N5" s="46">
        <v>2024</v>
      </c>
      <c r="O5" s="31"/>
      <c r="P5" s="31"/>
      <c r="Q5" s="31"/>
      <c r="R5" s="49"/>
      <c r="S5" s="49"/>
    </row>
    <row r="6" ht="17.25" spans="1:19">
      <c r="A6" s="31" t="s">
        <v>17</v>
      </c>
      <c r="B6" s="36">
        <v>20000</v>
      </c>
      <c r="C6" s="36">
        <v>0</v>
      </c>
      <c r="D6" s="36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47">
        <f t="shared" ref="N6:N19" si="0">SUM(B6:M6)</f>
        <v>20000</v>
      </c>
      <c r="O6" s="31" t="s">
        <v>18</v>
      </c>
      <c r="P6" s="31"/>
      <c r="Q6" s="31"/>
      <c r="R6" s="51"/>
      <c r="S6" s="51"/>
    </row>
    <row r="7" ht="17.25" spans="1:19">
      <c r="A7" s="31" t="s">
        <v>19</v>
      </c>
      <c r="B7" s="36">
        <v>108000</v>
      </c>
      <c r="C7" s="36">
        <v>108000</v>
      </c>
      <c r="D7" s="36">
        <v>108000</v>
      </c>
      <c r="E7" s="37"/>
      <c r="F7" s="37">
        <v>108000</v>
      </c>
      <c r="G7" s="37">
        <v>108000</v>
      </c>
      <c r="H7" s="37">
        <v>108000</v>
      </c>
      <c r="I7" s="37">
        <v>0</v>
      </c>
      <c r="J7" s="37">
        <v>108000</v>
      </c>
      <c r="K7" s="37">
        <v>108000</v>
      </c>
      <c r="L7" s="37">
        <v>0</v>
      </c>
      <c r="M7" s="37">
        <v>0</v>
      </c>
      <c r="N7" s="47">
        <f t="shared" si="0"/>
        <v>864000</v>
      </c>
      <c r="O7" s="31" t="s">
        <v>20</v>
      </c>
      <c r="P7" s="31"/>
      <c r="Q7" s="31"/>
      <c r="R7" s="51"/>
      <c r="S7" s="51"/>
    </row>
    <row r="8" ht="17.25" spans="1:19">
      <c r="A8" s="31" t="s">
        <v>21</v>
      </c>
      <c r="B8" s="36">
        <v>1000</v>
      </c>
      <c r="C8" s="36">
        <v>1000</v>
      </c>
      <c r="D8" s="36">
        <v>1000</v>
      </c>
      <c r="E8" s="37"/>
      <c r="F8" s="37">
        <v>1000</v>
      </c>
      <c r="G8" s="37">
        <v>1000</v>
      </c>
      <c r="H8" s="37">
        <v>1000</v>
      </c>
      <c r="I8" s="37">
        <v>0</v>
      </c>
      <c r="J8" s="37">
        <v>1000</v>
      </c>
      <c r="K8" s="37">
        <v>1000</v>
      </c>
      <c r="L8" s="37">
        <v>0</v>
      </c>
      <c r="M8" s="37">
        <v>0</v>
      </c>
      <c r="N8" s="47">
        <f t="shared" si="0"/>
        <v>8000</v>
      </c>
      <c r="O8" s="31" t="s">
        <v>22</v>
      </c>
      <c r="P8" s="31"/>
      <c r="Q8" s="31"/>
      <c r="R8" s="51"/>
      <c r="S8" s="51"/>
    </row>
    <row r="9" ht="17.25" spans="1:19">
      <c r="A9" s="31" t="s">
        <v>23</v>
      </c>
      <c r="B9" s="36">
        <v>2000</v>
      </c>
      <c r="C9" s="36">
        <v>2000</v>
      </c>
      <c r="D9" s="36">
        <v>2000</v>
      </c>
      <c r="E9" s="37">
        <v>0</v>
      </c>
      <c r="F9" s="37">
        <v>2000</v>
      </c>
      <c r="G9" s="37">
        <v>2000</v>
      </c>
      <c r="H9" s="37">
        <v>2000</v>
      </c>
      <c r="I9" s="37">
        <v>0</v>
      </c>
      <c r="J9" s="37">
        <v>2000</v>
      </c>
      <c r="K9" s="37">
        <v>2000</v>
      </c>
      <c r="L9" s="37">
        <v>0</v>
      </c>
      <c r="M9" s="37">
        <v>0</v>
      </c>
      <c r="N9" s="47">
        <f t="shared" si="0"/>
        <v>16000</v>
      </c>
      <c r="O9" s="31" t="s">
        <v>24</v>
      </c>
      <c r="P9" s="31"/>
      <c r="Q9" s="31"/>
      <c r="R9" s="51"/>
      <c r="S9" s="51"/>
    </row>
    <row r="10" ht="17.25" spans="1:19">
      <c r="A10" s="31" t="s">
        <v>25</v>
      </c>
      <c r="B10" s="36">
        <v>900</v>
      </c>
      <c r="C10" s="36">
        <v>900</v>
      </c>
      <c r="D10" s="36">
        <v>900</v>
      </c>
      <c r="E10" s="37">
        <v>900</v>
      </c>
      <c r="F10" s="37">
        <v>900</v>
      </c>
      <c r="G10" s="37">
        <v>900</v>
      </c>
      <c r="H10" s="37">
        <v>900</v>
      </c>
      <c r="I10" s="37">
        <v>900</v>
      </c>
      <c r="J10" s="37">
        <v>900</v>
      </c>
      <c r="K10" s="37">
        <v>900</v>
      </c>
      <c r="L10" s="37">
        <v>900</v>
      </c>
      <c r="M10" s="37">
        <v>900</v>
      </c>
      <c r="N10" s="47">
        <f t="shared" si="0"/>
        <v>10800</v>
      </c>
      <c r="O10" s="31" t="s">
        <v>26</v>
      </c>
      <c r="P10" s="31"/>
      <c r="Q10" s="31"/>
      <c r="R10" s="51"/>
      <c r="S10" s="51"/>
    </row>
    <row r="11" ht="17.25" spans="1:19">
      <c r="A11" s="31" t="s">
        <v>27</v>
      </c>
      <c r="B11" s="36">
        <v>2500</v>
      </c>
      <c r="C11" s="36">
        <v>2500</v>
      </c>
      <c r="D11" s="36">
        <v>2500</v>
      </c>
      <c r="E11" s="37">
        <v>2500</v>
      </c>
      <c r="F11" s="37">
        <v>2500</v>
      </c>
      <c r="G11" s="37">
        <v>2500</v>
      </c>
      <c r="H11" s="37">
        <v>2500</v>
      </c>
      <c r="I11" s="37">
        <v>2500</v>
      </c>
      <c r="J11" s="37">
        <v>2500</v>
      </c>
      <c r="K11" s="37">
        <v>2500</v>
      </c>
      <c r="L11" s="37">
        <v>2500</v>
      </c>
      <c r="M11" s="37">
        <v>2500</v>
      </c>
      <c r="N11" s="47">
        <f t="shared" si="0"/>
        <v>30000</v>
      </c>
      <c r="O11" s="31" t="s">
        <v>28</v>
      </c>
      <c r="P11" s="31"/>
      <c r="Q11" s="31"/>
      <c r="R11" s="51"/>
      <c r="S11" s="51"/>
    </row>
    <row r="12" ht="17.25" spans="1:19">
      <c r="A12" s="31" t="s">
        <v>29</v>
      </c>
      <c r="B12" s="36">
        <v>0</v>
      </c>
      <c r="C12" s="36">
        <v>10000</v>
      </c>
      <c r="D12" s="36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/>
      <c r="N12" s="47">
        <f t="shared" si="0"/>
        <v>10000</v>
      </c>
      <c r="O12" s="31" t="s">
        <v>30</v>
      </c>
      <c r="P12" s="31"/>
      <c r="Q12" s="31"/>
      <c r="R12" s="51"/>
      <c r="S12" s="51"/>
    </row>
    <row r="13" ht="17.25" spans="1:19">
      <c r="A13" s="31" t="s">
        <v>31</v>
      </c>
      <c r="B13" s="36">
        <v>0</v>
      </c>
      <c r="C13" s="36">
        <v>5000</v>
      </c>
      <c r="D13" s="36">
        <v>0</v>
      </c>
      <c r="E13" s="37">
        <v>0</v>
      </c>
      <c r="F13" s="37">
        <v>0</v>
      </c>
      <c r="G13" s="37">
        <v>5000</v>
      </c>
      <c r="H13" s="37">
        <v>0</v>
      </c>
      <c r="I13" s="37">
        <v>0</v>
      </c>
      <c r="J13" s="37">
        <v>0</v>
      </c>
      <c r="K13" s="37">
        <v>5000</v>
      </c>
      <c r="L13" s="37">
        <v>0</v>
      </c>
      <c r="M13" s="37">
        <v>0</v>
      </c>
      <c r="N13" s="47">
        <f t="shared" si="0"/>
        <v>15000</v>
      </c>
      <c r="O13" s="31" t="s">
        <v>32</v>
      </c>
      <c r="P13" s="31"/>
      <c r="Q13" s="31"/>
      <c r="R13" s="51"/>
      <c r="S13" s="51"/>
    </row>
    <row r="14" ht="17.25" spans="1:19">
      <c r="A14" s="31" t="s">
        <v>33</v>
      </c>
      <c r="B14" s="36">
        <v>5030</v>
      </c>
      <c r="C14" s="36">
        <v>0</v>
      </c>
      <c r="D14" s="36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47">
        <f t="shared" si="0"/>
        <v>5030</v>
      </c>
      <c r="O14" s="31" t="s">
        <v>34</v>
      </c>
      <c r="P14" s="31"/>
      <c r="Q14" s="31"/>
      <c r="R14" s="51"/>
      <c r="S14" s="51"/>
    </row>
    <row r="15" ht="24.75" spans="1:23">
      <c r="A15" s="31" t="s">
        <v>35</v>
      </c>
      <c r="B15" s="36">
        <v>10000</v>
      </c>
      <c r="C15" s="36">
        <v>10000</v>
      </c>
      <c r="D15" s="36">
        <v>10000</v>
      </c>
      <c r="E15" s="37">
        <v>0</v>
      </c>
      <c r="F15" s="37">
        <v>10000</v>
      </c>
      <c r="G15" s="37">
        <v>10000</v>
      </c>
      <c r="H15" s="37">
        <v>10000</v>
      </c>
      <c r="I15" s="37">
        <v>0</v>
      </c>
      <c r="J15" s="37">
        <v>10000</v>
      </c>
      <c r="K15" s="37">
        <v>10000</v>
      </c>
      <c r="L15" s="37">
        <v>0</v>
      </c>
      <c r="M15" s="37">
        <v>0</v>
      </c>
      <c r="N15" s="47">
        <f t="shared" si="0"/>
        <v>80000</v>
      </c>
      <c r="O15" s="31" t="s">
        <v>36</v>
      </c>
      <c r="P15" s="31"/>
      <c r="Q15" s="31"/>
      <c r="R15" s="51"/>
      <c r="S15" s="51"/>
      <c r="W15" s="29">
        <f>36*500</f>
        <v>18000</v>
      </c>
    </row>
    <row r="16" ht="17.25" spans="1:19">
      <c r="A16" s="31" t="s">
        <v>37</v>
      </c>
      <c r="B16" s="36">
        <v>4000</v>
      </c>
      <c r="C16" s="36">
        <v>4000</v>
      </c>
      <c r="D16" s="36">
        <v>4000</v>
      </c>
      <c r="E16" s="37">
        <v>4000</v>
      </c>
      <c r="F16" s="37">
        <v>4000</v>
      </c>
      <c r="G16" s="37">
        <v>4000</v>
      </c>
      <c r="H16" s="37">
        <v>4000</v>
      </c>
      <c r="I16" s="37">
        <v>4000</v>
      </c>
      <c r="J16" s="37">
        <v>4000</v>
      </c>
      <c r="K16" s="37">
        <v>4000</v>
      </c>
      <c r="L16" s="37">
        <v>4000</v>
      </c>
      <c r="M16" s="37">
        <v>4000</v>
      </c>
      <c r="N16" s="47">
        <f t="shared" si="0"/>
        <v>48000</v>
      </c>
      <c r="O16" s="31" t="s">
        <v>38</v>
      </c>
      <c r="P16" s="31"/>
      <c r="Q16" s="31"/>
      <c r="R16" s="51"/>
      <c r="S16" s="51"/>
    </row>
    <row r="17" ht="24.75" spans="1:23">
      <c r="A17" s="31" t="s">
        <v>39</v>
      </c>
      <c r="B17" s="36">
        <v>2000</v>
      </c>
      <c r="C17" s="36">
        <v>2000</v>
      </c>
      <c r="D17" s="36">
        <v>2000</v>
      </c>
      <c r="E17" s="37">
        <v>0</v>
      </c>
      <c r="F17" s="37">
        <v>2000</v>
      </c>
      <c r="G17" s="37">
        <v>2000</v>
      </c>
      <c r="H17" s="37">
        <v>2000</v>
      </c>
      <c r="I17" s="37">
        <v>2000</v>
      </c>
      <c r="J17" s="37">
        <v>2000</v>
      </c>
      <c r="K17" s="37">
        <v>2000</v>
      </c>
      <c r="L17" s="37">
        <v>0</v>
      </c>
      <c r="M17" s="37">
        <v>0</v>
      </c>
      <c r="N17" s="47">
        <f t="shared" si="0"/>
        <v>18000</v>
      </c>
      <c r="O17" s="31" t="s">
        <v>40</v>
      </c>
      <c r="P17" s="31"/>
      <c r="Q17" s="31"/>
      <c r="R17" s="51"/>
      <c r="S17" s="51"/>
      <c r="W17" s="29">
        <f>200*36</f>
        <v>7200</v>
      </c>
    </row>
    <row r="18" ht="17.25" spans="1:19">
      <c r="A18" s="31" t="s">
        <v>41</v>
      </c>
      <c r="B18" s="36">
        <v>2000</v>
      </c>
      <c r="C18" s="36">
        <v>2000</v>
      </c>
      <c r="D18" s="36">
        <v>2000</v>
      </c>
      <c r="E18" s="37">
        <v>0</v>
      </c>
      <c r="F18" s="37">
        <v>2000</v>
      </c>
      <c r="G18" s="37">
        <v>2000</v>
      </c>
      <c r="H18" s="37">
        <v>2000</v>
      </c>
      <c r="I18" s="37">
        <v>0</v>
      </c>
      <c r="J18" s="37">
        <v>2000</v>
      </c>
      <c r="K18" s="37">
        <v>2000</v>
      </c>
      <c r="L18" s="37">
        <v>0</v>
      </c>
      <c r="M18" s="37">
        <v>0</v>
      </c>
      <c r="N18" s="47">
        <f t="shared" si="0"/>
        <v>16000</v>
      </c>
      <c r="O18" s="31" t="s">
        <v>42</v>
      </c>
      <c r="P18" s="31"/>
      <c r="Q18" s="31"/>
      <c r="R18" s="51"/>
      <c r="S18" s="51"/>
    </row>
    <row r="19" ht="17.25" spans="1:19">
      <c r="A19" s="31" t="s">
        <v>43</v>
      </c>
      <c r="B19" s="36">
        <v>2500</v>
      </c>
      <c r="C19" s="36">
        <v>2500</v>
      </c>
      <c r="D19" s="36">
        <v>2500</v>
      </c>
      <c r="E19" s="37">
        <v>2500</v>
      </c>
      <c r="F19" s="37">
        <v>2500</v>
      </c>
      <c r="G19" s="37">
        <v>2500</v>
      </c>
      <c r="H19" s="37">
        <v>2500</v>
      </c>
      <c r="I19" s="37">
        <v>2500</v>
      </c>
      <c r="J19" s="37">
        <v>2500</v>
      </c>
      <c r="K19" s="37">
        <v>2500</v>
      </c>
      <c r="L19" s="37">
        <v>2500</v>
      </c>
      <c r="M19" s="37">
        <v>2500</v>
      </c>
      <c r="N19" s="47">
        <f t="shared" si="0"/>
        <v>30000</v>
      </c>
      <c r="O19" s="31" t="s">
        <v>44</v>
      </c>
      <c r="P19" s="31"/>
      <c r="Q19" s="31"/>
      <c r="R19" s="51"/>
      <c r="S19" s="51"/>
    </row>
    <row r="20" ht="17.25" spans="1:19">
      <c r="A20" s="31" t="s">
        <v>45</v>
      </c>
      <c r="B20" s="36">
        <v>18000</v>
      </c>
      <c r="C20" s="36">
        <v>18000</v>
      </c>
      <c r="D20" s="36">
        <v>18000</v>
      </c>
      <c r="E20" s="37">
        <v>18000</v>
      </c>
      <c r="F20" s="37">
        <v>18000</v>
      </c>
      <c r="G20" s="37">
        <v>18000</v>
      </c>
      <c r="H20" s="37">
        <v>18000</v>
      </c>
      <c r="I20" s="37">
        <v>18000</v>
      </c>
      <c r="J20" s="37">
        <v>18000</v>
      </c>
      <c r="K20" s="37">
        <v>18000</v>
      </c>
      <c r="L20" s="37">
        <v>18000</v>
      </c>
      <c r="M20" s="37">
        <v>18000</v>
      </c>
      <c r="N20" s="47">
        <v>18000</v>
      </c>
      <c r="O20" s="31" t="s">
        <v>46</v>
      </c>
      <c r="P20" s="31"/>
      <c r="Q20" s="31"/>
      <c r="R20" s="51"/>
      <c r="S20" s="51"/>
    </row>
    <row r="21" ht="17.25" spans="1:19">
      <c r="A21" s="31" t="s">
        <v>47</v>
      </c>
      <c r="B21" s="36">
        <v>7200</v>
      </c>
      <c r="C21" s="36">
        <v>7200</v>
      </c>
      <c r="D21" s="36">
        <v>7200</v>
      </c>
      <c r="E21" s="37">
        <v>7200</v>
      </c>
      <c r="F21" s="37">
        <v>7200</v>
      </c>
      <c r="G21" s="37">
        <v>7200</v>
      </c>
      <c r="H21" s="37">
        <v>7200</v>
      </c>
      <c r="I21" s="37">
        <v>7200</v>
      </c>
      <c r="J21" s="37">
        <v>7200</v>
      </c>
      <c r="K21" s="37">
        <v>7200</v>
      </c>
      <c r="L21" s="37">
        <v>7200</v>
      </c>
      <c r="M21" s="37">
        <v>7200</v>
      </c>
      <c r="N21" s="47">
        <f>SUM(B21:M21)</f>
        <v>86400</v>
      </c>
      <c r="O21" s="31" t="s">
        <v>48</v>
      </c>
      <c r="P21" s="31"/>
      <c r="Q21" s="31"/>
      <c r="R21" s="51"/>
      <c r="S21" s="51"/>
    </row>
    <row r="22" ht="17.25" spans="1:19">
      <c r="A22" s="31" t="s">
        <v>49</v>
      </c>
      <c r="B22" s="36">
        <v>4000</v>
      </c>
      <c r="C22" s="36">
        <v>4000</v>
      </c>
      <c r="D22" s="36">
        <v>4000</v>
      </c>
      <c r="E22" s="37">
        <v>4000</v>
      </c>
      <c r="F22" s="37">
        <v>4000</v>
      </c>
      <c r="G22" s="37">
        <v>4000</v>
      </c>
      <c r="H22" s="37">
        <v>4000</v>
      </c>
      <c r="I22" s="37">
        <v>4000</v>
      </c>
      <c r="J22" s="37">
        <v>4000</v>
      </c>
      <c r="K22" s="37">
        <v>4000</v>
      </c>
      <c r="L22" s="37">
        <v>4000</v>
      </c>
      <c r="M22" s="37">
        <v>4000</v>
      </c>
      <c r="N22" s="47">
        <f>SUM(B22:M22)</f>
        <v>48000</v>
      </c>
      <c r="O22" s="31" t="s">
        <v>50</v>
      </c>
      <c r="P22" s="31"/>
      <c r="Q22" s="31"/>
      <c r="R22" s="51"/>
      <c r="S22" s="51"/>
    </row>
    <row r="23" s="27" customFormat="1" ht="24.75" spans="1:19">
      <c r="A23" s="38" t="s">
        <v>51</v>
      </c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47"/>
      <c r="O23" s="38"/>
      <c r="P23" s="38"/>
      <c r="Q23" s="38"/>
      <c r="R23" s="52"/>
      <c r="S23" s="52"/>
    </row>
    <row r="24" ht="17.25" spans="1:19">
      <c r="A24" s="31" t="s">
        <v>111</v>
      </c>
      <c r="B24" s="36">
        <v>16000</v>
      </c>
      <c r="C24" s="36">
        <v>16000</v>
      </c>
      <c r="D24" s="36">
        <v>16000</v>
      </c>
      <c r="E24" s="37">
        <v>0</v>
      </c>
      <c r="F24" s="37">
        <v>1600</v>
      </c>
      <c r="G24" s="37">
        <v>1600</v>
      </c>
      <c r="H24" s="37">
        <v>1600</v>
      </c>
      <c r="I24" s="37">
        <v>0</v>
      </c>
      <c r="J24" s="37">
        <v>16000</v>
      </c>
      <c r="K24" s="37">
        <v>16000</v>
      </c>
      <c r="L24" s="37"/>
      <c r="M24" s="37"/>
      <c r="N24" s="47">
        <f t="shared" ref="N24:N34" si="1">SUM(B24:M24)</f>
        <v>84800</v>
      </c>
      <c r="O24" s="31" t="s">
        <v>53</v>
      </c>
      <c r="P24" s="31"/>
      <c r="Q24" s="31"/>
      <c r="R24" s="51"/>
      <c r="S24" s="51"/>
    </row>
    <row r="25" ht="17.25" spans="1:19">
      <c r="A25" s="31" t="s">
        <v>112</v>
      </c>
      <c r="B25" s="36">
        <v>19000</v>
      </c>
      <c r="C25" s="36">
        <v>19000</v>
      </c>
      <c r="D25" s="36">
        <v>19000</v>
      </c>
      <c r="E25" s="36">
        <v>0</v>
      </c>
      <c r="F25" s="36">
        <v>19000</v>
      </c>
      <c r="G25" s="36">
        <v>19000</v>
      </c>
      <c r="H25" s="36">
        <v>19000</v>
      </c>
      <c r="I25" s="37">
        <v>0</v>
      </c>
      <c r="J25" s="37">
        <v>19000</v>
      </c>
      <c r="K25" s="37">
        <v>19000</v>
      </c>
      <c r="L25" s="37"/>
      <c r="M25" s="37"/>
      <c r="N25" s="47">
        <f t="shared" si="1"/>
        <v>152000</v>
      </c>
      <c r="O25" s="31" t="s">
        <v>53</v>
      </c>
      <c r="P25" s="31"/>
      <c r="Q25" s="31"/>
      <c r="R25" s="51"/>
      <c r="S25" s="51"/>
    </row>
    <row r="26" ht="17.25" spans="1:19">
      <c r="A26" s="31" t="s">
        <v>113</v>
      </c>
      <c r="B26" s="36">
        <v>9500</v>
      </c>
      <c r="C26" s="36">
        <v>27000</v>
      </c>
      <c r="D26" s="36">
        <v>27000</v>
      </c>
      <c r="E26" s="36">
        <v>0</v>
      </c>
      <c r="F26" s="36">
        <v>27000</v>
      </c>
      <c r="G26" s="36">
        <v>27000</v>
      </c>
      <c r="H26" s="36">
        <v>27000</v>
      </c>
      <c r="I26" s="37">
        <v>0</v>
      </c>
      <c r="J26" s="37">
        <v>27000</v>
      </c>
      <c r="K26" s="37">
        <v>27000</v>
      </c>
      <c r="L26" s="37"/>
      <c r="M26" s="37"/>
      <c r="N26" s="47">
        <f t="shared" si="1"/>
        <v>198500</v>
      </c>
      <c r="O26" s="31" t="s">
        <v>53</v>
      </c>
      <c r="P26" s="31"/>
      <c r="Q26" s="31"/>
      <c r="R26" s="51"/>
      <c r="S26" s="51"/>
    </row>
    <row r="27" ht="17.25" spans="1:19">
      <c r="A27" s="31" t="s">
        <v>114</v>
      </c>
      <c r="B27" s="36">
        <v>9000</v>
      </c>
      <c r="C27" s="36">
        <v>27000</v>
      </c>
      <c r="D27" s="36">
        <v>27000</v>
      </c>
      <c r="E27" s="36">
        <v>0</v>
      </c>
      <c r="F27" s="36">
        <v>27000</v>
      </c>
      <c r="G27" s="36">
        <v>27000</v>
      </c>
      <c r="H27" s="36">
        <v>27000</v>
      </c>
      <c r="I27" s="37"/>
      <c r="J27" s="37">
        <v>27000</v>
      </c>
      <c r="K27" s="37">
        <v>27000</v>
      </c>
      <c r="L27" s="37"/>
      <c r="M27" s="37"/>
      <c r="N27" s="47">
        <f t="shared" si="1"/>
        <v>198000</v>
      </c>
      <c r="O27" s="31" t="s">
        <v>57</v>
      </c>
      <c r="P27" s="31"/>
      <c r="Q27" s="31"/>
      <c r="R27" s="51"/>
      <c r="S27" s="51"/>
    </row>
    <row r="28" ht="17.25" spans="1:19">
      <c r="A28" s="31" t="s">
        <v>115</v>
      </c>
      <c r="B28" s="36">
        <v>11200</v>
      </c>
      <c r="C28" s="36">
        <v>27000</v>
      </c>
      <c r="D28" s="36">
        <v>27000</v>
      </c>
      <c r="E28" s="36">
        <v>0</v>
      </c>
      <c r="F28" s="36">
        <v>27000</v>
      </c>
      <c r="G28" s="36">
        <v>27000</v>
      </c>
      <c r="H28" s="36">
        <v>27000</v>
      </c>
      <c r="I28" s="37"/>
      <c r="J28" s="37">
        <v>27000</v>
      </c>
      <c r="K28" s="37">
        <v>27000</v>
      </c>
      <c r="L28" s="37"/>
      <c r="M28" s="37"/>
      <c r="N28" s="47">
        <f t="shared" si="1"/>
        <v>200200</v>
      </c>
      <c r="O28" s="31" t="s">
        <v>57</v>
      </c>
      <c r="P28" s="31"/>
      <c r="Q28" s="31"/>
      <c r="R28" s="51"/>
      <c r="S28" s="51"/>
    </row>
    <row r="29" ht="17.25" spans="1:19">
      <c r="A29" s="31" t="s">
        <v>116</v>
      </c>
      <c r="B29" s="36">
        <v>16000</v>
      </c>
      <c r="C29" s="36">
        <v>16000</v>
      </c>
      <c r="D29" s="36">
        <v>16000</v>
      </c>
      <c r="E29" s="36">
        <v>0</v>
      </c>
      <c r="F29" s="36">
        <v>16000</v>
      </c>
      <c r="G29" s="36">
        <v>16000</v>
      </c>
      <c r="H29" s="36">
        <v>16000</v>
      </c>
      <c r="I29" s="37"/>
      <c r="J29" s="37">
        <v>16000</v>
      </c>
      <c r="K29" s="37">
        <v>16000</v>
      </c>
      <c r="L29" s="37"/>
      <c r="M29" s="37"/>
      <c r="N29" s="47">
        <f t="shared" si="1"/>
        <v>128000</v>
      </c>
      <c r="O29" s="31" t="s">
        <v>60</v>
      </c>
      <c r="P29" s="31"/>
      <c r="Q29" s="31"/>
      <c r="R29" s="51"/>
      <c r="S29" s="51"/>
    </row>
    <row r="30" s="28" customFormat="1" ht="24.75" spans="1:19">
      <c r="A30" s="39" t="s">
        <v>117</v>
      </c>
      <c r="B30" s="40">
        <v>8000</v>
      </c>
      <c r="C30" s="40">
        <v>8000</v>
      </c>
      <c r="D30" s="40">
        <v>8000</v>
      </c>
      <c r="E30" s="40">
        <v>0</v>
      </c>
      <c r="F30" s="40">
        <v>8000</v>
      </c>
      <c r="G30" s="40">
        <v>8000</v>
      </c>
      <c r="H30" s="40">
        <v>8000</v>
      </c>
      <c r="I30" s="37"/>
      <c r="J30" s="37">
        <v>8000</v>
      </c>
      <c r="K30" s="37">
        <v>8000</v>
      </c>
      <c r="L30" s="37"/>
      <c r="M30" s="37"/>
      <c r="N30" s="47">
        <f t="shared" si="1"/>
        <v>64000</v>
      </c>
      <c r="O30" s="39" t="s">
        <v>62</v>
      </c>
      <c r="P30" s="39"/>
      <c r="Q30" s="39"/>
      <c r="R30" s="53"/>
      <c r="S30" s="53"/>
    </row>
    <row r="31" s="28" customFormat="1" ht="24.75" spans="1:19">
      <c r="A31" s="39" t="s">
        <v>118</v>
      </c>
      <c r="B31" s="40">
        <v>9000</v>
      </c>
      <c r="C31" s="40">
        <v>9000</v>
      </c>
      <c r="D31" s="40">
        <v>9000</v>
      </c>
      <c r="E31" s="40">
        <v>0</v>
      </c>
      <c r="F31" s="40">
        <v>9000</v>
      </c>
      <c r="G31" s="40">
        <v>9000</v>
      </c>
      <c r="H31" s="40">
        <v>9000</v>
      </c>
      <c r="I31" s="37"/>
      <c r="J31" s="37">
        <v>9000</v>
      </c>
      <c r="K31" s="37">
        <v>9000</v>
      </c>
      <c r="L31" s="37"/>
      <c r="M31" s="37"/>
      <c r="N31" s="47">
        <f t="shared" si="1"/>
        <v>72000</v>
      </c>
      <c r="O31" s="39" t="s">
        <v>64</v>
      </c>
      <c r="P31" s="39"/>
      <c r="Q31" s="39"/>
      <c r="R31" s="53"/>
      <c r="S31" s="53"/>
    </row>
    <row r="32" ht="17.25" spans="1:19">
      <c r="A32" s="31" t="s">
        <v>119</v>
      </c>
      <c r="B32" s="36">
        <v>7500</v>
      </c>
      <c r="C32" s="36">
        <v>7500</v>
      </c>
      <c r="D32" s="36">
        <v>7500</v>
      </c>
      <c r="E32" s="36">
        <v>0</v>
      </c>
      <c r="F32" s="36">
        <v>7500</v>
      </c>
      <c r="G32" s="36">
        <v>7500</v>
      </c>
      <c r="H32" s="36">
        <v>7500</v>
      </c>
      <c r="I32" s="37"/>
      <c r="J32" s="37">
        <v>7500</v>
      </c>
      <c r="K32" s="37">
        <v>7500</v>
      </c>
      <c r="L32" s="37"/>
      <c r="M32" s="37"/>
      <c r="N32" s="47">
        <f t="shared" si="1"/>
        <v>60000</v>
      </c>
      <c r="O32" s="31" t="s">
        <v>53</v>
      </c>
      <c r="P32" s="31"/>
      <c r="Q32" s="31"/>
      <c r="R32" s="51"/>
      <c r="S32" s="51"/>
    </row>
    <row r="33" ht="17.25" spans="1:19">
      <c r="A33" s="31" t="s">
        <v>120</v>
      </c>
      <c r="B33" s="36">
        <v>9000</v>
      </c>
      <c r="C33" s="36">
        <v>9000</v>
      </c>
      <c r="D33" s="36">
        <v>9000</v>
      </c>
      <c r="E33" s="36">
        <v>0</v>
      </c>
      <c r="F33" s="36">
        <v>9000</v>
      </c>
      <c r="G33" s="36">
        <v>9000</v>
      </c>
      <c r="H33" s="36">
        <v>9000</v>
      </c>
      <c r="I33" s="37"/>
      <c r="J33" s="37">
        <v>9000</v>
      </c>
      <c r="K33" s="37">
        <v>9000</v>
      </c>
      <c r="L33" s="37"/>
      <c r="M33" s="37"/>
      <c r="N33" s="47">
        <f t="shared" si="1"/>
        <v>72000</v>
      </c>
      <c r="O33" s="31" t="s">
        <v>57</v>
      </c>
      <c r="P33" s="31"/>
      <c r="Q33" s="31"/>
      <c r="R33" s="51"/>
      <c r="S33" s="51"/>
    </row>
    <row r="34" ht="17.25" spans="1:19">
      <c r="A34" s="31" t="s">
        <v>121</v>
      </c>
      <c r="B34" s="36">
        <v>12000</v>
      </c>
      <c r="C34" s="36">
        <v>12000</v>
      </c>
      <c r="D34" s="36">
        <v>12000</v>
      </c>
      <c r="E34" s="36">
        <v>0</v>
      </c>
      <c r="F34" s="36">
        <v>12000</v>
      </c>
      <c r="G34" s="36">
        <v>12000</v>
      </c>
      <c r="H34" s="36">
        <v>12000</v>
      </c>
      <c r="I34" s="37"/>
      <c r="J34" s="37">
        <v>12000</v>
      </c>
      <c r="K34" s="37">
        <v>12000</v>
      </c>
      <c r="L34" s="37"/>
      <c r="M34" s="37"/>
      <c r="N34" s="47">
        <f t="shared" si="1"/>
        <v>96000</v>
      </c>
      <c r="O34" s="31" t="s">
        <v>57</v>
      </c>
      <c r="P34" s="31"/>
      <c r="Q34" s="31"/>
      <c r="R34" s="51"/>
      <c r="S34" s="51"/>
    </row>
    <row r="35" ht="17.25" spans="1:19">
      <c r="A35" s="31" t="s">
        <v>122</v>
      </c>
      <c r="B35" s="36">
        <v>20000</v>
      </c>
      <c r="C35" s="36">
        <v>20000</v>
      </c>
      <c r="D35" s="36">
        <v>20000</v>
      </c>
      <c r="E35" s="36">
        <v>0</v>
      </c>
      <c r="F35" s="36">
        <v>20000</v>
      </c>
      <c r="G35" s="36">
        <v>20000</v>
      </c>
      <c r="H35" s="36">
        <v>20000</v>
      </c>
      <c r="I35" s="37"/>
      <c r="J35" s="37">
        <v>20000</v>
      </c>
      <c r="K35" s="37">
        <v>20000</v>
      </c>
      <c r="L35" s="37"/>
      <c r="M35" s="37"/>
      <c r="N35" s="47">
        <f t="shared" ref="N35" si="2">SUM(B35:M35)</f>
        <v>160000</v>
      </c>
      <c r="O35" s="31"/>
      <c r="P35" s="31"/>
      <c r="Q35" s="31"/>
      <c r="R35" s="51"/>
      <c r="S35" s="51"/>
    </row>
    <row r="36" s="27" customFormat="1" ht="24.75" spans="1:19">
      <c r="A36" s="32" t="s">
        <v>71</v>
      </c>
      <c r="B36" s="41">
        <f t="shared" ref="B36:N36" si="3">SUM(B6:B35)</f>
        <v>335330</v>
      </c>
      <c r="C36" s="41">
        <f t="shared" si="3"/>
        <v>376600</v>
      </c>
      <c r="D36" s="41">
        <f t="shared" si="3"/>
        <v>361600</v>
      </c>
      <c r="E36" s="42">
        <f t="shared" si="3"/>
        <v>39100</v>
      </c>
      <c r="F36" s="42">
        <f t="shared" si="3"/>
        <v>347200</v>
      </c>
      <c r="G36" s="42">
        <f t="shared" si="3"/>
        <v>352200</v>
      </c>
      <c r="H36" s="42">
        <f t="shared" si="3"/>
        <v>347200</v>
      </c>
      <c r="I36" s="42">
        <f t="shared" si="3"/>
        <v>41100</v>
      </c>
      <c r="J36" s="42">
        <f t="shared" si="3"/>
        <v>361600</v>
      </c>
      <c r="K36" s="42">
        <f t="shared" si="3"/>
        <v>366600</v>
      </c>
      <c r="L36" s="42">
        <f t="shared" si="3"/>
        <v>39100</v>
      </c>
      <c r="M36" s="42">
        <f t="shared" si="3"/>
        <v>39100</v>
      </c>
      <c r="N36" s="48">
        <f t="shared" si="3"/>
        <v>2808730</v>
      </c>
      <c r="O36" s="38"/>
      <c r="P36" s="38"/>
      <c r="Q36" s="38"/>
      <c r="R36" s="52"/>
      <c r="S36" s="52"/>
    </row>
    <row r="37" s="27" customFormat="1" ht="24.75" spans="1:19">
      <c r="A37" s="38"/>
      <c r="B37" s="43"/>
      <c r="C37" s="31"/>
      <c r="D37" s="31"/>
      <c r="E37" s="35"/>
      <c r="F37" s="35"/>
      <c r="G37" s="35"/>
      <c r="H37" s="35"/>
      <c r="I37" s="35"/>
      <c r="J37" s="35"/>
      <c r="K37" s="35"/>
      <c r="L37" s="35"/>
      <c r="M37" s="35"/>
      <c r="N37" s="44"/>
      <c r="O37" s="38"/>
      <c r="P37" s="38"/>
      <c r="Q37" s="38"/>
      <c r="R37" s="52"/>
      <c r="S37" s="52"/>
    </row>
    <row r="38" ht="24.75" spans="1:19">
      <c r="A38" s="38" t="s">
        <v>72</v>
      </c>
      <c r="B38" s="31"/>
      <c r="C38" s="31"/>
      <c r="D38" s="31"/>
      <c r="E38" s="35"/>
      <c r="F38" s="35"/>
      <c r="G38" s="35"/>
      <c r="H38" s="35"/>
      <c r="I38" s="35"/>
      <c r="J38" s="35"/>
      <c r="K38" s="35"/>
      <c r="L38" s="35"/>
      <c r="M38" s="35"/>
      <c r="N38" s="32"/>
      <c r="O38" s="31"/>
      <c r="P38" s="31"/>
      <c r="Q38" s="31"/>
      <c r="R38" s="49"/>
      <c r="S38" s="49"/>
    </row>
    <row r="39" ht="17.25" spans="1:19">
      <c r="A39" s="31" t="s">
        <v>73</v>
      </c>
      <c r="B39" s="43">
        <v>72000</v>
      </c>
      <c r="C39" s="43">
        <v>0</v>
      </c>
      <c r="D39" s="43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44">
        <f t="shared" ref="N39:N44" si="4">SUM(B39:M39)</f>
        <v>72000</v>
      </c>
      <c r="O39" s="31" t="s">
        <v>74</v>
      </c>
      <c r="P39" s="31"/>
      <c r="Q39" s="31"/>
      <c r="R39" s="51"/>
      <c r="S39" s="51"/>
    </row>
    <row r="40" ht="17.25" spans="1:19">
      <c r="A40" s="31" t="s">
        <v>75</v>
      </c>
      <c r="B40" s="43">
        <v>0</v>
      </c>
      <c r="C40" s="43">
        <v>0</v>
      </c>
      <c r="D40" s="43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44">
        <f t="shared" si="4"/>
        <v>0</v>
      </c>
      <c r="O40" s="31" t="s">
        <v>76</v>
      </c>
      <c r="P40" s="31"/>
      <c r="Q40" s="31"/>
      <c r="R40" s="51"/>
      <c r="S40" s="51"/>
    </row>
    <row r="41" ht="17.25" spans="1:19">
      <c r="A41" s="31" t="s">
        <v>77</v>
      </c>
      <c r="B41" s="43">
        <v>30000</v>
      </c>
      <c r="C41" s="43">
        <v>0</v>
      </c>
      <c r="D41" s="43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44">
        <f t="shared" si="4"/>
        <v>30000</v>
      </c>
      <c r="O41" s="31" t="s">
        <v>78</v>
      </c>
      <c r="P41" s="31"/>
      <c r="Q41" s="31"/>
      <c r="R41" s="51"/>
      <c r="S41" s="51"/>
    </row>
    <row r="42" ht="17.25" spans="1:19">
      <c r="A42" s="31" t="s">
        <v>79</v>
      </c>
      <c r="B42" s="43">
        <v>45000</v>
      </c>
      <c r="C42" s="43">
        <v>0</v>
      </c>
      <c r="D42" s="43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44">
        <f t="shared" si="4"/>
        <v>45000</v>
      </c>
      <c r="O42" s="31" t="s">
        <v>80</v>
      </c>
      <c r="P42" s="31"/>
      <c r="Q42" s="31"/>
      <c r="R42" s="51"/>
      <c r="S42" s="51"/>
    </row>
    <row r="43" ht="17.25" spans="1:19">
      <c r="A43" s="31" t="s">
        <v>81</v>
      </c>
      <c r="B43" s="43">
        <v>300000</v>
      </c>
      <c r="C43" s="43">
        <v>0</v>
      </c>
      <c r="D43" s="43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44">
        <f t="shared" si="4"/>
        <v>300000</v>
      </c>
      <c r="O43" s="31" t="s">
        <v>82</v>
      </c>
      <c r="P43" s="31"/>
      <c r="Q43" s="31"/>
      <c r="R43" s="51"/>
      <c r="S43" s="51"/>
    </row>
    <row r="44" ht="17.25" spans="1:19">
      <c r="A44" s="31" t="s">
        <v>83</v>
      </c>
      <c r="B44" s="43">
        <v>4500</v>
      </c>
      <c r="C44" s="43">
        <v>0</v>
      </c>
      <c r="D44" s="43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44">
        <f t="shared" si="4"/>
        <v>4500</v>
      </c>
      <c r="O44" s="31" t="s">
        <v>84</v>
      </c>
      <c r="P44" s="31"/>
      <c r="Q44" s="31"/>
      <c r="R44" s="51"/>
      <c r="S44" s="51"/>
    </row>
    <row r="45" ht="17.25" spans="1:19">
      <c r="A45" s="31"/>
      <c r="B45" s="43"/>
      <c r="C45" s="43"/>
      <c r="D45" s="43"/>
      <c r="E45" s="35"/>
      <c r="F45" s="35"/>
      <c r="G45" s="35"/>
      <c r="H45" s="35"/>
      <c r="I45" s="35"/>
      <c r="J45" s="35"/>
      <c r="K45" s="35"/>
      <c r="L45" s="35"/>
      <c r="M45" s="35"/>
      <c r="N45" s="44"/>
      <c r="O45" s="31"/>
      <c r="P45" s="31"/>
      <c r="Q45" s="31"/>
      <c r="R45" s="51"/>
      <c r="S45" s="51"/>
    </row>
    <row r="46" s="27" customFormat="1" ht="24.75" spans="1:19">
      <c r="A46" s="38" t="s">
        <v>71</v>
      </c>
      <c r="B46" s="44">
        <f>SUM(B39:B45)</f>
        <v>451500</v>
      </c>
      <c r="C46" s="44">
        <f t="shared" ref="C46:N46" si="5">SUM(C39:C45)</f>
        <v>0</v>
      </c>
      <c r="D46" s="44">
        <f t="shared" si="5"/>
        <v>0</v>
      </c>
      <c r="E46" s="44">
        <f t="shared" si="5"/>
        <v>0</v>
      </c>
      <c r="F46" s="44">
        <f t="shared" si="5"/>
        <v>0</v>
      </c>
      <c r="G46" s="44">
        <f t="shared" si="5"/>
        <v>0</v>
      </c>
      <c r="H46" s="44">
        <f t="shared" si="5"/>
        <v>0</v>
      </c>
      <c r="I46" s="44">
        <f t="shared" si="5"/>
        <v>0</v>
      </c>
      <c r="J46" s="44">
        <f t="shared" si="5"/>
        <v>0</v>
      </c>
      <c r="K46" s="44">
        <f t="shared" si="5"/>
        <v>0</v>
      </c>
      <c r="L46" s="44">
        <f t="shared" si="5"/>
        <v>0</v>
      </c>
      <c r="M46" s="44">
        <f t="shared" si="5"/>
        <v>0</v>
      </c>
      <c r="N46" s="48">
        <f t="shared" si="5"/>
        <v>451500</v>
      </c>
      <c r="O46" s="38"/>
      <c r="P46" s="38"/>
      <c r="Q46" s="38"/>
      <c r="R46" s="50"/>
      <c r="S46" s="50"/>
    </row>
    <row r="47" s="27" customFormat="1" ht="24.75" spans="1:19">
      <c r="A47" s="38"/>
      <c r="B47" s="43"/>
      <c r="C47" s="31"/>
      <c r="D47" s="31"/>
      <c r="E47" s="35"/>
      <c r="F47" s="35"/>
      <c r="G47" s="35"/>
      <c r="H47" s="35"/>
      <c r="I47" s="35"/>
      <c r="J47" s="35"/>
      <c r="K47" s="35"/>
      <c r="L47" s="35"/>
      <c r="M47" s="35"/>
      <c r="N47" s="44"/>
      <c r="O47" s="38"/>
      <c r="P47" s="38"/>
      <c r="Q47" s="38"/>
      <c r="R47" s="50"/>
      <c r="S47" s="50"/>
    </row>
    <row r="48" s="27" customFormat="1" ht="24.75" spans="1:19">
      <c r="A48" s="32" t="s">
        <v>85</v>
      </c>
      <c r="B48" s="45">
        <f>B36+B46</f>
        <v>786830</v>
      </c>
      <c r="C48" s="45">
        <f t="shared" ref="C48:M48" si="6">C36+C46</f>
        <v>376600</v>
      </c>
      <c r="D48" s="45">
        <f t="shared" si="6"/>
        <v>361600</v>
      </c>
      <c r="E48" s="45">
        <f t="shared" si="6"/>
        <v>39100</v>
      </c>
      <c r="F48" s="45">
        <f t="shared" si="6"/>
        <v>347200</v>
      </c>
      <c r="G48" s="45">
        <f t="shared" si="6"/>
        <v>352200</v>
      </c>
      <c r="H48" s="45">
        <f t="shared" si="6"/>
        <v>347200</v>
      </c>
      <c r="I48" s="45">
        <f t="shared" si="6"/>
        <v>41100</v>
      </c>
      <c r="J48" s="45">
        <f t="shared" si="6"/>
        <v>361600</v>
      </c>
      <c r="K48" s="45">
        <f t="shared" si="6"/>
        <v>366600</v>
      </c>
      <c r="L48" s="45">
        <f t="shared" si="6"/>
        <v>39100</v>
      </c>
      <c r="M48" s="45">
        <f t="shared" si="6"/>
        <v>39100</v>
      </c>
      <c r="N48" s="48">
        <f>SUM(B48:M48)</f>
        <v>3458230</v>
      </c>
      <c r="O48" s="38"/>
      <c r="P48" s="38"/>
      <c r="Q48" s="38"/>
      <c r="R48" s="50"/>
      <c r="S48" s="50"/>
    </row>
    <row r="49" ht="15.75" spans="1:1">
      <c r="A49" s="31"/>
    </row>
    <row r="50" ht="15" spans="1:1">
      <c r="A50" s="31"/>
    </row>
    <row r="54" spans="6:6">
      <c r="F54">
        <f>4000*18</f>
        <v>72000</v>
      </c>
    </row>
  </sheetData>
  <mergeCells count="2">
    <mergeCell ref="A1:Q1"/>
    <mergeCell ref="A2:Q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tabSelected="1" workbookViewId="0">
      <selection activeCell="N11" sqref="N11"/>
    </sheetView>
  </sheetViews>
  <sheetFormatPr defaultColWidth="9.14285714285714" defaultRowHeight="15"/>
  <cols>
    <col min="1" max="1" width="26.1428571428571" customWidth="1"/>
    <col min="2" max="2" width="15.8571428571429" customWidth="1"/>
    <col min="3" max="4" width="13.5714285714286" style="1" customWidth="1"/>
    <col min="5" max="6" width="14.1428571428571" style="1" customWidth="1"/>
    <col min="7" max="7" width="11.7142857142857" style="1" customWidth="1"/>
    <col min="8" max="9" width="15.7142857142857" style="1" customWidth="1"/>
    <col min="10" max="10" width="10" style="1" customWidth="1"/>
    <col min="11" max="14" width="10" customWidth="1"/>
    <col min="15" max="15" width="13.2857142857143" customWidth="1"/>
    <col min="16" max="16" width="12.5714285714286" customWidth="1"/>
    <col min="17" max="17" width="10" customWidth="1"/>
  </cols>
  <sheetData>
    <row r="1" customFormat="1" ht="19.5" spans="1:15">
      <c r="A1" s="2" t="s">
        <v>123</v>
      </c>
      <c r="B1" s="3"/>
      <c r="C1" s="4"/>
      <c r="D1" s="4"/>
      <c r="E1" s="4"/>
      <c r="F1" s="4"/>
      <c r="G1" s="4"/>
      <c r="H1" s="4"/>
      <c r="I1" s="4"/>
      <c r="J1" s="4"/>
      <c r="O1">
        <v>6600</v>
      </c>
    </row>
    <row r="2" customFormat="1" ht="16.5" hidden="1" spans="1:17">
      <c r="A2" s="1" t="s">
        <v>124</v>
      </c>
      <c r="B2" s="1" t="s">
        <v>125</v>
      </c>
      <c r="C2" s="1" t="s">
        <v>126</v>
      </c>
      <c r="D2" s="1"/>
      <c r="E2" s="1">
        <v>45292</v>
      </c>
      <c r="F2" s="1"/>
      <c r="G2" s="1"/>
      <c r="H2" s="1">
        <v>45352</v>
      </c>
      <c r="I2" s="1"/>
      <c r="J2" s="1" t="s">
        <v>71</v>
      </c>
      <c r="K2" s="17">
        <v>45292</v>
      </c>
      <c r="L2" s="17" t="s">
        <v>127</v>
      </c>
      <c r="M2" s="17">
        <v>45352</v>
      </c>
      <c r="N2" s="17" t="s">
        <v>71</v>
      </c>
      <c r="O2" s="17" t="s">
        <v>128</v>
      </c>
      <c r="P2" s="17" t="s">
        <v>129</v>
      </c>
      <c r="Q2" s="19" t="s">
        <v>130</v>
      </c>
    </row>
    <row r="3" customFormat="1" ht="16.5" spans="1:17">
      <c r="A3" s="5"/>
      <c r="B3" s="5"/>
      <c r="C3" s="26" t="s">
        <v>88</v>
      </c>
      <c r="D3" s="26"/>
      <c r="E3" s="26"/>
      <c r="F3" s="26"/>
      <c r="G3" s="26" t="s">
        <v>89</v>
      </c>
      <c r="H3" s="26"/>
      <c r="I3" s="26"/>
      <c r="J3" s="26"/>
      <c r="K3" s="18"/>
      <c r="L3" s="18"/>
      <c r="M3" s="18"/>
      <c r="N3" s="18"/>
      <c r="O3" s="18"/>
      <c r="P3" s="18"/>
      <c r="Q3" s="18"/>
    </row>
    <row r="4" customFormat="1" ht="16.5" spans="1:17">
      <c r="A4" s="5"/>
      <c r="B4" s="5"/>
      <c r="C4" s="7"/>
      <c r="D4" s="7"/>
      <c r="E4" s="7"/>
      <c r="F4" s="7"/>
      <c r="G4" s="7"/>
      <c r="H4" s="7"/>
      <c r="I4" s="7"/>
      <c r="J4" s="7"/>
      <c r="K4" s="18"/>
      <c r="L4" s="18"/>
      <c r="M4" s="18"/>
      <c r="N4" s="18"/>
      <c r="O4" s="18"/>
      <c r="P4" s="18"/>
      <c r="Q4" s="18"/>
    </row>
    <row r="5" customFormat="1" ht="15.75" spans="1:17">
      <c r="A5" s="8" t="s">
        <v>124</v>
      </c>
      <c r="B5" s="8" t="s">
        <v>125</v>
      </c>
      <c r="C5" s="8" t="s">
        <v>131</v>
      </c>
      <c r="D5" s="8" t="s">
        <v>132</v>
      </c>
      <c r="E5" s="8" t="s">
        <v>133</v>
      </c>
      <c r="F5" s="8" t="s">
        <v>134</v>
      </c>
      <c r="G5" s="8" t="s">
        <v>135</v>
      </c>
      <c r="H5" s="8" t="s">
        <v>136</v>
      </c>
      <c r="I5" s="8" t="s">
        <v>137</v>
      </c>
      <c r="J5" s="8" t="s">
        <v>133</v>
      </c>
      <c r="K5" s="19"/>
      <c r="L5" s="19"/>
      <c r="M5" s="19"/>
      <c r="N5" s="19"/>
      <c r="O5" s="19"/>
      <c r="P5" s="19"/>
      <c r="Q5" s="19"/>
    </row>
    <row r="6" customFormat="1" spans="1:14">
      <c r="A6" s="9" t="s">
        <v>138</v>
      </c>
      <c r="B6" s="9"/>
      <c r="C6" s="10">
        <v>3300</v>
      </c>
      <c r="D6" s="11">
        <v>3000</v>
      </c>
      <c r="E6" s="12">
        <f t="shared" ref="E6:E21" si="0">C6-D6</f>
        <v>300</v>
      </c>
      <c r="F6" s="13" t="s">
        <v>139</v>
      </c>
      <c r="G6" s="10">
        <f t="shared" ref="G6:G21" si="1">E6</f>
        <v>300</v>
      </c>
      <c r="H6" s="10">
        <v>2400</v>
      </c>
      <c r="I6" s="11">
        <v>800</v>
      </c>
      <c r="J6" s="12">
        <f t="shared" ref="J6:J21" si="2">G6+H6-I6</f>
        <v>1900</v>
      </c>
      <c r="N6" s="20"/>
    </row>
    <row r="7" customFormat="1" spans="1:14">
      <c r="A7" s="9" t="s">
        <v>140</v>
      </c>
      <c r="B7" s="9"/>
      <c r="C7" s="10">
        <v>6600</v>
      </c>
      <c r="D7" s="11">
        <v>6100</v>
      </c>
      <c r="E7" s="12">
        <f t="shared" ref="E7:E12" si="3">C7-D7</f>
        <v>500</v>
      </c>
      <c r="F7" s="13"/>
      <c r="G7" s="10">
        <f t="shared" si="1"/>
        <v>500</v>
      </c>
      <c r="H7" s="10">
        <v>2400</v>
      </c>
      <c r="I7" s="11">
        <v>0</v>
      </c>
      <c r="J7" s="12">
        <f t="shared" si="2"/>
        <v>2900</v>
      </c>
      <c r="N7" s="20"/>
    </row>
    <row r="8" customFormat="1" spans="1:14">
      <c r="A8" s="9" t="s">
        <v>141</v>
      </c>
      <c r="B8" s="9"/>
      <c r="C8" s="10">
        <v>5100</v>
      </c>
      <c r="D8" s="11">
        <v>5100</v>
      </c>
      <c r="E8" s="12">
        <f t="shared" si="3"/>
        <v>0</v>
      </c>
      <c r="F8" s="13"/>
      <c r="G8" s="10">
        <f t="shared" si="1"/>
        <v>0</v>
      </c>
      <c r="H8" s="10">
        <v>4200</v>
      </c>
      <c r="I8" s="11">
        <v>2000</v>
      </c>
      <c r="J8" s="12">
        <f t="shared" si="2"/>
        <v>2200</v>
      </c>
      <c r="N8" s="20"/>
    </row>
    <row r="9" customFormat="1" spans="1:14">
      <c r="A9" s="9" t="s">
        <v>142</v>
      </c>
      <c r="B9" s="9"/>
      <c r="C9" s="10">
        <v>0</v>
      </c>
      <c r="D9" s="11"/>
      <c r="E9" s="12">
        <f t="shared" si="3"/>
        <v>0</v>
      </c>
      <c r="F9" s="13"/>
      <c r="G9" s="10">
        <f t="shared" si="1"/>
        <v>0</v>
      </c>
      <c r="H9" s="10">
        <v>0</v>
      </c>
      <c r="I9" s="11">
        <v>0</v>
      </c>
      <c r="J9" s="12">
        <f t="shared" si="2"/>
        <v>0</v>
      </c>
      <c r="N9" s="20"/>
    </row>
    <row r="10" customFormat="1" spans="1:14">
      <c r="A10" s="9" t="s">
        <v>143</v>
      </c>
      <c r="B10" s="9"/>
      <c r="C10" s="10">
        <v>6600</v>
      </c>
      <c r="D10" s="11">
        <v>6600</v>
      </c>
      <c r="E10" s="12">
        <f t="shared" si="3"/>
        <v>0</v>
      </c>
      <c r="F10" s="13"/>
      <c r="G10" s="10">
        <f t="shared" si="1"/>
        <v>0</v>
      </c>
      <c r="H10" s="10">
        <v>2400</v>
      </c>
      <c r="I10" s="11">
        <v>0</v>
      </c>
      <c r="J10" s="12">
        <f t="shared" si="2"/>
        <v>2400</v>
      </c>
      <c r="N10" s="20"/>
    </row>
    <row r="11" customFormat="1" spans="1:14">
      <c r="A11" s="9" t="s">
        <v>144</v>
      </c>
      <c r="B11" s="9"/>
      <c r="C11" s="10">
        <v>0</v>
      </c>
      <c r="D11" s="11"/>
      <c r="E11" s="12">
        <f t="shared" si="3"/>
        <v>0</v>
      </c>
      <c r="F11" s="13"/>
      <c r="G11" s="10">
        <f t="shared" si="1"/>
        <v>0</v>
      </c>
      <c r="H11" s="10">
        <v>0</v>
      </c>
      <c r="I11" s="11">
        <v>0</v>
      </c>
      <c r="J11" s="12">
        <f t="shared" si="2"/>
        <v>0</v>
      </c>
      <c r="N11" s="20"/>
    </row>
    <row r="12" customFormat="1" spans="1:16">
      <c r="A12" s="9" t="s">
        <v>145</v>
      </c>
      <c r="B12" s="9"/>
      <c r="C12" s="10">
        <v>3300</v>
      </c>
      <c r="D12" s="11">
        <v>3300</v>
      </c>
      <c r="E12" s="12">
        <f t="shared" si="3"/>
        <v>0</v>
      </c>
      <c r="F12" s="13"/>
      <c r="G12" s="10">
        <f t="shared" si="1"/>
        <v>0</v>
      </c>
      <c r="H12" s="10">
        <v>2400</v>
      </c>
      <c r="I12" s="11">
        <v>0</v>
      </c>
      <c r="J12" s="12">
        <f t="shared" si="2"/>
        <v>2400</v>
      </c>
      <c r="K12" s="20"/>
      <c r="L12" s="20"/>
      <c r="M12" s="20"/>
      <c r="N12" s="20"/>
      <c r="O12" s="20"/>
      <c r="P12" s="20"/>
    </row>
    <row r="13" customFormat="1" spans="1:10">
      <c r="A13" s="9" t="s">
        <v>146</v>
      </c>
      <c r="B13" s="9"/>
      <c r="C13" s="10">
        <v>3300</v>
      </c>
      <c r="D13" s="11"/>
      <c r="E13" s="12">
        <f t="shared" si="0"/>
        <v>3300</v>
      </c>
      <c r="F13" s="13"/>
      <c r="G13" s="10">
        <f t="shared" si="1"/>
        <v>3300</v>
      </c>
      <c r="H13" s="10">
        <v>0</v>
      </c>
      <c r="I13" s="11">
        <v>0</v>
      </c>
      <c r="J13" s="12">
        <f t="shared" si="2"/>
        <v>3300</v>
      </c>
    </row>
    <row r="14" customFormat="1" spans="1:10">
      <c r="A14" s="9" t="s">
        <v>147</v>
      </c>
      <c r="B14" s="9"/>
      <c r="C14" s="10">
        <v>6700</v>
      </c>
      <c r="D14" s="11">
        <v>4200</v>
      </c>
      <c r="E14" s="12">
        <f t="shared" si="0"/>
        <v>2500</v>
      </c>
      <c r="F14" s="13"/>
      <c r="G14" s="10">
        <f t="shared" si="1"/>
        <v>2500</v>
      </c>
      <c r="H14" s="10">
        <v>2400</v>
      </c>
      <c r="I14" s="11">
        <v>3500</v>
      </c>
      <c r="J14" s="12">
        <f t="shared" si="2"/>
        <v>1400</v>
      </c>
    </row>
    <row r="15" customFormat="1" spans="1:10">
      <c r="A15" s="9" t="s">
        <v>148</v>
      </c>
      <c r="B15" s="9"/>
      <c r="C15" s="10">
        <v>0</v>
      </c>
      <c r="D15" s="11">
        <v>0</v>
      </c>
      <c r="E15" s="12">
        <f t="shared" si="0"/>
        <v>0</v>
      </c>
      <c r="F15" s="13"/>
      <c r="G15" s="10">
        <f t="shared" si="1"/>
        <v>0</v>
      </c>
      <c r="H15" s="10">
        <v>0</v>
      </c>
      <c r="I15" s="11">
        <v>0</v>
      </c>
      <c r="J15" s="12">
        <f t="shared" si="2"/>
        <v>0</v>
      </c>
    </row>
    <row r="16" customFormat="1" spans="1:10">
      <c r="A16" s="9" t="s">
        <v>149</v>
      </c>
      <c r="B16" s="65" t="s">
        <v>150</v>
      </c>
      <c r="C16" s="10">
        <v>3300</v>
      </c>
      <c r="D16" s="11">
        <v>3300</v>
      </c>
      <c r="E16" s="12">
        <f t="shared" si="0"/>
        <v>0</v>
      </c>
      <c r="F16" s="13"/>
      <c r="G16" s="10">
        <f t="shared" si="1"/>
        <v>0</v>
      </c>
      <c r="H16" s="10">
        <v>2400</v>
      </c>
      <c r="I16" s="11">
        <v>2000</v>
      </c>
      <c r="J16" s="12">
        <f t="shared" si="2"/>
        <v>400</v>
      </c>
    </row>
    <row r="17" customFormat="1" spans="1:10">
      <c r="A17" s="9" t="s">
        <v>151</v>
      </c>
      <c r="B17" s="9"/>
      <c r="C17" s="10">
        <v>8700</v>
      </c>
      <c r="D17" s="11">
        <v>3000</v>
      </c>
      <c r="E17" s="12">
        <f t="shared" si="0"/>
        <v>5700</v>
      </c>
      <c r="F17" s="13"/>
      <c r="G17" s="10">
        <f t="shared" si="1"/>
        <v>5700</v>
      </c>
      <c r="H17" s="10">
        <v>2400</v>
      </c>
      <c r="I17" s="11"/>
      <c r="J17" s="12">
        <f t="shared" si="2"/>
        <v>8100</v>
      </c>
    </row>
    <row r="18" customFormat="1" spans="1:10">
      <c r="A18" s="9" t="s">
        <v>152</v>
      </c>
      <c r="B18" s="9"/>
      <c r="C18" s="10">
        <v>3300</v>
      </c>
      <c r="D18" s="11">
        <v>3300</v>
      </c>
      <c r="E18" s="12">
        <f t="shared" si="0"/>
        <v>0</v>
      </c>
      <c r="F18" s="13"/>
      <c r="G18" s="10">
        <f t="shared" si="1"/>
        <v>0</v>
      </c>
      <c r="H18" s="10">
        <v>2400</v>
      </c>
      <c r="I18" s="11">
        <v>1300</v>
      </c>
      <c r="J18" s="12">
        <f t="shared" si="2"/>
        <v>1100</v>
      </c>
    </row>
    <row r="19" customFormat="1" spans="1:10">
      <c r="A19" s="9" t="s">
        <v>153</v>
      </c>
      <c r="B19" s="9"/>
      <c r="C19" s="10">
        <v>3300</v>
      </c>
      <c r="D19" s="11">
        <v>2400</v>
      </c>
      <c r="E19" s="12">
        <f t="shared" si="0"/>
        <v>900</v>
      </c>
      <c r="F19" s="13"/>
      <c r="G19" s="10">
        <f t="shared" si="1"/>
        <v>900</v>
      </c>
      <c r="H19" s="10">
        <v>2400</v>
      </c>
      <c r="I19" s="11"/>
      <c r="J19" s="12">
        <f t="shared" si="2"/>
        <v>3300</v>
      </c>
    </row>
    <row r="20" customFormat="1" spans="1:10">
      <c r="A20" s="9" t="s">
        <v>154</v>
      </c>
      <c r="B20" s="9"/>
      <c r="C20" s="10">
        <v>3300</v>
      </c>
      <c r="D20" s="11">
        <v>3300</v>
      </c>
      <c r="E20" s="12">
        <f t="shared" si="0"/>
        <v>0</v>
      </c>
      <c r="F20" s="13"/>
      <c r="G20" s="10">
        <f t="shared" si="1"/>
        <v>0</v>
      </c>
      <c r="H20" s="10">
        <v>2400</v>
      </c>
      <c r="I20" s="11">
        <v>1000</v>
      </c>
      <c r="J20" s="12">
        <f t="shared" si="2"/>
        <v>1400</v>
      </c>
    </row>
    <row r="21" customFormat="1" spans="1:10">
      <c r="A21" s="9" t="s">
        <v>155</v>
      </c>
      <c r="B21" s="9"/>
      <c r="C21" s="10">
        <v>3300</v>
      </c>
      <c r="D21" s="11">
        <v>3300</v>
      </c>
      <c r="E21" s="12">
        <f t="shared" si="0"/>
        <v>0</v>
      </c>
      <c r="F21" s="13"/>
      <c r="G21" s="10">
        <f>E21</f>
        <v>0</v>
      </c>
      <c r="H21" s="10">
        <v>2400</v>
      </c>
      <c r="I21" s="11">
        <v>400</v>
      </c>
      <c r="J21" s="12">
        <f>G21+H21-I21</f>
        <v>2000</v>
      </c>
    </row>
    <row r="22" customFormat="1" spans="1:10">
      <c r="A22" s="9" t="s">
        <v>156</v>
      </c>
      <c r="B22" s="9"/>
      <c r="C22" s="10">
        <v>0</v>
      </c>
      <c r="D22" s="11"/>
      <c r="E22" s="12">
        <f>C22-D22</f>
        <v>0</v>
      </c>
      <c r="F22" s="13"/>
      <c r="G22" s="10">
        <f>E22</f>
        <v>0</v>
      </c>
      <c r="H22" s="10">
        <v>0</v>
      </c>
      <c r="I22" s="11">
        <v>0</v>
      </c>
      <c r="J22" s="12">
        <f>G22+H22-I22</f>
        <v>0</v>
      </c>
    </row>
    <row r="23" customFormat="1" spans="1:10">
      <c r="A23" s="9" t="s">
        <v>157</v>
      </c>
      <c r="B23" s="9"/>
      <c r="C23" s="10">
        <v>4200</v>
      </c>
      <c r="D23" s="11">
        <v>4200</v>
      </c>
      <c r="E23" s="12">
        <f>C23-D23</f>
        <v>0</v>
      </c>
      <c r="F23" s="13"/>
      <c r="G23" s="10">
        <f>E23</f>
        <v>0</v>
      </c>
      <c r="H23" s="10">
        <v>2400</v>
      </c>
      <c r="I23" s="11"/>
      <c r="J23" s="12">
        <f>G23+H23-I23</f>
        <v>2400</v>
      </c>
    </row>
    <row r="24" customFormat="1" spans="1:10">
      <c r="A24" s="9" t="s">
        <v>158</v>
      </c>
      <c r="B24" s="9"/>
      <c r="C24" s="10">
        <v>3300</v>
      </c>
      <c r="D24" s="11"/>
      <c r="E24" s="12">
        <f>C24-D24</f>
        <v>3300</v>
      </c>
      <c r="F24" s="13"/>
      <c r="G24" s="10">
        <f>E24</f>
        <v>3300</v>
      </c>
      <c r="H24" s="10">
        <v>2400</v>
      </c>
      <c r="I24" s="11"/>
      <c r="J24" s="12">
        <f>G24+H24-I24</f>
        <v>5700</v>
      </c>
    </row>
    <row r="25" customFormat="1" spans="1:10">
      <c r="A25" s="9" t="s">
        <v>159</v>
      </c>
      <c r="B25" s="9"/>
      <c r="C25" s="10">
        <v>6600</v>
      </c>
      <c r="D25" s="11">
        <v>6600</v>
      </c>
      <c r="E25" s="12">
        <f>C25-D25</f>
        <v>0</v>
      </c>
      <c r="F25" s="13"/>
      <c r="G25" s="10">
        <f t="shared" ref="G25:G36" si="4">E25</f>
        <v>0</v>
      </c>
      <c r="H25" s="10">
        <v>2400</v>
      </c>
      <c r="I25" s="11">
        <v>2400</v>
      </c>
      <c r="J25" s="12">
        <f>G25+H25-I25</f>
        <v>0</v>
      </c>
    </row>
    <row r="26" customFormat="1" spans="1:10">
      <c r="A26" s="9" t="s">
        <v>160</v>
      </c>
      <c r="B26" s="9"/>
      <c r="C26" s="10">
        <v>0</v>
      </c>
      <c r="D26" s="11">
        <v>0</v>
      </c>
      <c r="E26" s="12">
        <f>C26-D26</f>
        <v>0</v>
      </c>
      <c r="F26" s="13"/>
      <c r="G26" s="10">
        <f t="shared" si="4"/>
        <v>0</v>
      </c>
      <c r="H26" s="10"/>
      <c r="I26" s="11"/>
      <c r="J26" s="12">
        <f t="shared" ref="J26:J36" si="5">G26+H26-I26</f>
        <v>0</v>
      </c>
    </row>
    <row r="27" customFormat="1" spans="1:10">
      <c r="A27" s="9" t="s">
        <v>161</v>
      </c>
      <c r="B27" s="9"/>
      <c r="C27" s="10">
        <v>3300</v>
      </c>
      <c r="D27" s="11">
        <v>0</v>
      </c>
      <c r="E27" s="12">
        <f t="shared" ref="E27:E36" si="6">C27-D27</f>
        <v>3300</v>
      </c>
      <c r="F27" s="13"/>
      <c r="G27" s="10">
        <f t="shared" si="4"/>
        <v>3300</v>
      </c>
      <c r="H27" s="10"/>
      <c r="I27" s="11"/>
      <c r="J27" s="12">
        <f t="shared" si="5"/>
        <v>3300</v>
      </c>
    </row>
    <row r="28" customFormat="1" spans="1:10">
      <c r="A28" s="9" t="s">
        <v>162</v>
      </c>
      <c r="B28" s="9"/>
      <c r="C28" s="10">
        <v>5100</v>
      </c>
      <c r="D28" s="11">
        <v>5100</v>
      </c>
      <c r="E28" s="12">
        <f t="shared" si="6"/>
        <v>0</v>
      </c>
      <c r="F28" s="13"/>
      <c r="G28" s="10">
        <f t="shared" si="4"/>
        <v>0</v>
      </c>
      <c r="H28" s="10">
        <v>2400</v>
      </c>
      <c r="I28" s="11">
        <v>1000</v>
      </c>
      <c r="J28" s="12">
        <f t="shared" si="5"/>
        <v>1400</v>
      </c>
    </row>
    <row r="29" customFormat="1" spans="1:10">
      <c r="A29" s="9" t="s">
        <v>163</v>
      </c>
      <c r="B29" s="9"/>
      <c r="C29" s="10">
        <v>3300</v>
      </c>
      <c r="D29" s="11">
        <v>3300</v>
      </c>
      <c r="E29" s="12">
        <f t="shared" si="6"/>
        <v>0</v>
      </c>
      <c r="F29" s="13"/>
      <c r="G29" s="10">
        <f t="shared" si="4"/>
        <v>0</v>
      </c>
      <c r="H29" s="10">
        <v>4200</v>
      </c>
      <c r="I29" s="11">
        <v>1400</v>
      </c>
      <c r="J29" s="12">
        <f t="shared" si="5"/>
        <v>2800</v>
      </c>
    </row>
    <row r="30" customFormat="1" spans="1:10">
      <c r="A30" s="9" t="s">
        <v>164</v>
      </c>
      <c r="B30" s="9"/>
      <c r="C30" s="10">
        <v>3300</v>
      </c>
      <c r="D30" s="11">
        <v>3300</v>
      </c>
      <c r="E30" s="12">
        <f t="shared" si="6"/>
        <v>0</v>
      </c>
      <c r="F30" s="13"/>
      <c r="G30" s="10">
        <f t="shared" si="4"/>
        <v>0</v>
      </c>
      <c r="H30" s="10">
        <v>2400</v>
      </c>
      <c r="I30" s="11">
        <v>1000</v>
      </c>
      <c r="J30" s="12">
        <f t="shared" si="5"/>
        <v>1400</v>
      </c>
    </row>
    <row r="31" customFormat="1" spans="1:10">
      <c r="A31" s="9" t="s">
        <v>165</v>
      </c>
      <c r="B31" s="9"/>
      <c r="C31" s="10">
        <v>3300</v>
      </c>
      <c r="D31" s="11"/>
      <c r="E31" s="12">
        <f t="shared" si="6"/>
        <v>3300</v>
      </c>
      <c r="F31" s="13"/>
      <c r="G31" s="10">
        <f t="shared" ref="G31:G43" si="7">E31</f>
        <v>3300</v>
      </c>
      <c r="H31" s="10">
        <v>2400</v>
      </c>
      <c r="I31" s="11"/>
      <c r="J31" s="12">
        <f t="shared" si="5"/>
        <v>5700</v>
      </c>
    </row>
    <row r="32" customFormat="1" spans="1:10">
      <c r="A32" s="9" t="s">
        <v>166</v>
      </c>
      <c r="B32" s="9"/>
      <c r="C32" s="10">
        <v>3300</v>
      </c>
      <c r="D32" s="11"/>
      <c r="E32" s="12">
        <f t="shared" si="6"/>
        <v>3300</v>
      </c>
      <c r="F32" s="13"/>
      <c r="G32" s="10">
        <f t="shared" si="7"/>
        <v>3300</v>
      </c>
      <c r="H32" s="10">
        <v>2400</v>
      </c>
      <c r="I32" s="11"/>
      <c r="J32" s="12">
        <f t="shared" si="5"/>
        <v>5700</v>
      </c>
    </row>
    <row r="33" customFormat="1" spans="1:10">
      <c r="A33" s="9" t="s">
        <v>167</v>
      </c>
      <c r="B33" s="9"/>
      <c r="C33" s="10">
        <v>3300</v>
      </c>
      <c r="D33" s="11"/>
      <c r="E33" s="12">
        <f t="shared" si="6"/>
        <v>3300</v>
      </c>
      <c r="F33" s="13"/>
      <c r="G33" s="10">
        <f t="shared" si="7"/>
        <v>3300</v>
      </c>
      <c r="H33" s="10">
        <v>2400</v>
      </c>
      <c r="I33" s="11"/>
      <c r="J33" s="12">
        <f t="shared" si="5"/>
        <v>5700</v>
      </c>
    </row>
    <row r="34" customFormat="1" spans="1:10">
      <c r="A34" s="9" t="s">
        <v>168</v>
      </c>
      <c r="B34" s="9"/>
      <c r="C34" s="10">
        <v>4320</v>
      </c>
      <c r="D34" s="11">
        <v>2100</v>
      </c>
      <c r="E34" s="12">
        <f t="shared" si="6"/>
        <v>2220</v>
      </c>
      <c r="F34" s="13"/>
      <c r="G34" s="10">
        <f t="shared" si="7"/>
        <v>2220</v>
      </c>
      <c r="H34" s="10">
        <v>2400</v>
      </c>
      <c r="I34" s="11">
        <v>1000</v>
      </c>
      <c r="J34" s="12">
        <f t="shared" si="5"/>
        <v>3620</v>
      </c>
    </row>
    <row r="35" customFormat="1" spans="1:10">
      <c r="A35" s="9" t="s">
        <v>169</v>
      </c>
      <c r="B35" s="9"/>
      <c r="C35" s="10">
        <v>3300</v>
      </c>
      <c r="D35" s="11"/>
      <c r="E35" s="12">
        <f t="shared" si="6"/>
        <v>3300</v>
      </c>
      <c r="F35" s="13"/>
      <c r="G35" s="10">
        <f t="shared" si="7"/>
        <v>3300</v>
      </c>
      <c r="H35" s="10">
        <v>2400</v>
      </c>
      <c r="I35" s="11"/>
      <c r="J35" s="12">
        <f t="shared" si="5"/>
        <v>5700</v>
      </c>
    </row>
    <row r="36" customFormat="1" spans="1:10">
      <c r="A36" s="9" t="s">
        <v>170</v>
      </c>
      <c r="B36" s="9"/>
      <c r="C36" s="10">
        <v>3300</v>
      </c>
      <c r="D36" s="11"/>
      <c r="E36" s="12">
        <f t="shared" si="6"/>
        <v>3300</v>
      </c>
      <c r="F36" s="13"/>
      <c r="G36" s="10">
        <f t="shared" si="7"/>
        <v>3300</v>
      </c>
      <c r="H36" s="10">
        <v>2400</v>
      </c>
      <c r="I36" s="11"/>
      <c r="J36" s="12">
        <f t="shared" ref="J36:J43" si="8">G36+H36-I36</f>
        <v>5700</v>
      </c>
    </row>
    <row r="37" customFormat="1" spans="1:10">
      <c r="A37" s="9" t="s">
        <v>171</v>
      </c>
      <c r="B37" s="9"/>
      <c r="C37" s="10">
        <v>3300</v>
      </c>
      <c r="D37" s="11">
        <v>3300</v>
      </c>
      <c r="E37" s="12">
        <f>C37-D37</f>
        <v>0</v>
      </c>
      <c r="F37" s="13"/>
      <c r="G37" s="10">
        <f t="shared" si="7"/>
        <v>0</v>
      </c>
      <c r="H37" s="10">
        <v>2400</v>
      </c>
      <c r="I37" s="11">
        <v>2400</v>
      </c>
      <c r="J37" s="12">
        <f t="shared" si="8"/>
        <v>0</v>
      </c>
    </row>
    <row r="38" customFormat="1" spans="1:10">
      <c r="A38" s="9" t="s">
        <v>172</v>
      </c>
      <c r="B38" s="9"/>
      <c r="C38" s="10">
        <v>3300</v>
      </c>
      <c r="D38" s="11">
        <v>3300</v>
      </c>
      <c r="E38" s="12">
        <f>C38-D38</f>
        <v>0</v>
      </c>
      <c r="F38" s="13"/>
      <c r="G38" s="10">
        <f t="shared" ref="G38:G46" si="9">E38</f>
        <v>0</v>
      </c>
      <c r="H38" s="10">
        <v>2400</v>
      </c>
      <c r="I38" s="11">
        <v>2400</v>
      </c>
      <c r="J38" s="12">
        <f t="shared" si="8"/>
        <v>0</v>
      </c>
    </row>
    <row r="39" customFormat="1" spans="1:10">
      <c r="A39" s="9" t="s">
        <v>173</v>
      </c>
      <c r="B39" s="9"/>
      <c r="C39" s="10">
        <v>4300</v>
      </c>
      <c r="D39" s="11">
        <v>4300</v>
      </c>
      <c r="E39" s="12">
        <f>C39-D39</f>
        <v>0</v>
      </c>
      <c r="F39" s="13"/>
      <c r="G39" s="10">
        <f t="shared" si="9"/>
        <v>0</v>
      </c>
      <c r="H39" s="10">
        <v>2400</v>
      </c>
      <c r="I39" s="11">
        <v>1100</v>
      </c>
      <c r="J39" s="12">
        <f t="shared" si="8"/>
        <v>1300</v>
      </c>
    </row>
    <row r="40" customFormat="1" spans="1:10">
      <c r="A40" s="9" t="s">
        <v>174</v>
      </c>
      <c r="B40" s="9"/>
      <c r="C40" s="10">
        <v>0</v>
      </c>
      <c r="D40" s="11"/>
      <c r="E40" s="12">
        <f>C40-D40</f>
        <v>0</v>
      </c>
      <c r="F40" s="13"/>
      <c r="G40" s="10">
        <f t="shared" si="9"/>
        <v>0</v>
      </c>
      <c r="H40" s="10">
        <v>0</v>
      </c>
      <c r="I40" s="11"/>
      <c r="J40" s="12">
        <f t="shared" si="8"/>
        <v>0</v>
      </c>
    </row>
    <row r="41" customFormat="1" spans="1:10">
      <c r="A41" s="9" t="s">
        <v>175</v>
      </c>
      <c r="B41" s="9"/>
      <c r="C41" s="10">
        <v>3300</v>
      </c>
      <c r="D41" s="11">
        <v>3300</v>
      </c>
      <c r="E41" s="12">
        <f>C41-D41</f>
        <v>0</v>
      </c>
      <c r="F41" s="13"/>
      <c r="G41" s="10">
        <f t="shared" si="9"/>
        <v>0</v>
      </c>
      <c r="H41" s="10">
        <v>2400</v>
      </c>
      <c r="I41" s="11"/>
      <c r="J41" s="12">
        <f t="shared" si="8"/>
        <v>2400</v>
      </c>
    </row>
    <row r="42" customFormat="1" spans="1:10">
      <c r="A42" s="9" t="s">
        <v>176</v>
      </c>
      <c r="B42" s="9"/>
      <c r="C42" s="10">
        <v>4300</v>
      </c>
      <c r="D42" s="11">
        <v>3300</v>
      </c>
      <c r="E42" s="12">
        <f>C42-D42</f>
        <v>1000</v>
      </c>
      <c r="F42" s="13"/>
      <c r="G42" s="10">
        <f t="shared" si="9"/>
        <v>1000</v>
      </c>
      <c r="H42" s="10">
        <v>2400</v>
      </c>
      <c r="I42" s="11">
        <v>1000</v>
      </c>
      <c r="J42" s="12">
        <f>G42+H42-I42</f>
        <v>2400</v>
      </c>
    </row>
    <row r="43" customFormat="1" spans="1:10">
      <c r="A43" s="9" t="s">
        <v>177</v>
      </c>
      <c r="B43" s="9"/>
      <c r="C43" s="10">
        <v>3300</v>
      </c>
      <c r="D43" s="11"/>
      <c r="E43" s="12">
        <f>C43-D43</f>
        <v>3300</v>
      </c>
      <c r="F43" s="13"/>
      <c r="G43" s="10">
        <f t="shared" si="9"/>
        <v>3300</v>
      </c>
      <c r="H43" s="10">
        <v>2400</v>
      </c>
      <c r="I43" s="11"/>
      <c r="J43" s="12">
        <f>G43+H43-I43</f>
        <v>5700</v>
      </c>
    </row>
    <row r="44" customFormat="1" spans="1:10">
      <c r="A44" t="s">
        <v>178</v>
      </c>
      <c r="C44" s="23">
        <v>3300</v>
      </c>
      <c r="D44" s="24">
        <v>3300</v>
      </c>
      <c r="E44" s="12">
        <f>C44-D44</f>
        <v>0</v>
      </c>
      <c r="F44" s="1"/>
      <c r="G44" s="10">
        <f t="shared" si="9"/>
        <v>0</v>
      </c>
      <c r="H44" s="23">
        <v>2400</v>
      </c>
      <c r="I44" s="24"/>
      <c r="J44" s="12">
        <f>G44+H44-I44</f>
        <v>2400</v>
      </c>
    </row>
    <row r="45" customFormat="1" spans="1:10">
      <c r="A45" t="s">
        <v>179</v>
      </c>
      <c r="C45" s="23">
        <v>3300</v>
      </c>
      <c r="D45" s="24">
        <v>1500</v>
      </c>
      <c r="E45" s="12">
        <f>C45-D45</f>
        <v>1800</v>
      </c>
      <c r="F45" s="1"/>
      <c r="G45" s="10">
        <f t="shared" si="9"/>
        <v>1800</v>
      </c>
      <c r="H45" s="23">
        <v>2400</v>
      </c>
      <c r="I45" s="24">
        <v>3400</v>
      </c>
      <c r="J45" s="12">
        <f>G45+H45-I45</f>
        <v>800</v>
      </c>
    </row>
    <row r="46" customFormat="1" spans="1:10">
      <c r="A46" t="s">
        <v>180</v>
      </c>
      <c r="C46" s="23">
        <v>3300</v>
      </c>
      <c r="D46" s="24">
        <v>3300</v>
      </c>
      <c r="E46" s="12">
        <f>C46-D46</f>
        <v>0</v>
      </c>
      <c r="F46" s="1"/>
      <c r="G46" s="10">
        <f t="shared" si="9"/>
        <v>0</v>
      </c>
      <c r="H46" s="23">
        <v>4200</v>
      </c>
      <c r="I46" s="24">
        <v>2500</v>
      </c>
      <c r="J46" s="12">
        <f>G46+H46-I46</f>
        <v>1700</v>
      </c>
    </row>
    <row r="47" customFormat="1" ht="15.75" spans="1:10">
      <c r="A47" s="14" t="s">
        <v>71</v>
      </c>
      <c r="B47" s="15"/>
      <c r="C47" s="16">
        <f>SUM(C6:C20)</f>
        <v>56800</v>
      </c>
      <c r="D47" s="16">
        <f>SUM(D6:D20)</f>
        <v>43600</v>
      </c>
      <c r="E47" s="21">
        <f>SUM(E6:E21)</f>
        <v>13200</v>
      </c>
      <c r="F47" s="15"/>
      <c r="G47" s="16">
        <f>SUM(G6:G46)</f>
        <v>44620</v>
      </c>
      <c r="H47" s="16">
        <f>SUM(H6:H46)</f>
        <v>84600</v>
      </c>
      <c r="I47" s="16">
        <f>SUM(I6:I46)</f>
        <v>30600</v>
      </c>
      <c r="J47" s="21">
        <f>SUM(J6:J46)</f>
        <v>98620</v>
      </c>
    </row>
    <row r="48" customFormat="1" ht="15.75" spans="3:10">
      <c r="C48" s="1"/>
      <c r="D48" s="1"/>
      <c r="E48" s="1"/>
      <c r="F48" s="1"/>
      <c r="G48" s="1"/>
      <c r="H48" s="1"/>
      <c r="I48" s="1"/>
      <c r="J48" s="1"/>
    </row>
    <row r="49" customFormat="1" spans="3:10">
      <c r="C49" s="1"/>
      <c r="D49" s="1"/>
      <c r="E49" s="1"/>
      <c r="F49" s="1"/>
      <c r="G49" s="1"/>
      <c r="H49" s="1"/>
      <c r="I49" s="1"/>
      <c r="J49" s="1"/>
    </row>
    <row r="50" customFormat="1" spans="3:10">
      <c r="C50" s="1"/>
      <c r="D50" s="1"/>
      <c r="E50" s="1"/>
      <c r="F50" s="1"/>
      <c r="G50" s="1"/>
      <c r="H50" s="1"/>
      <c r="I50" s="1"/>
      <c r="J50" s="1"/>
    </row>
    <row r="51" customFormat="1" spans="3:10">
      <c r="C51" s="1"/>
      <c r="D51" s="1"/>
      <c r="E51" s="1"/>
      <c r="F51" s="1"/>
      <c r="G51" s="1"/>
      <c r="H51" s="1"/>
      <c r="I51" s="1"/>
      <c r="J51" s="1"/>
    </row>
    <row r="52" customFormat="1" spans="3:10">
      <c r="C52" s="1"/>
      <c r="D52" s="1"/>
      <c r="E52" s="1"/>
      <c r="F52" s="1"/>
      <c r="G52" s="1"/>
      <c r="H52" s="1"/>
      <c r="I52" s="1"/>
      <c r="J52" s="1"/>
    </row>
    <row r="68" spans="5:5">
      <c r="E68" s="1">
        <f>C68-D68</f>
        <v>0</v>
      </c>
    </row>
  </sheetData>
  <mergeCells count="6">
    <mergeCell ref="A1:J1"/>
    <mergeCell ref="C3:F3"/>
    <mergeCell ref="G3:J3"/>
    <mergeCell ref="K3:Q3"/>
    <mergeCell ref="C4:J4"/>
    <mergeCell ref="K4:Q4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workbookViewId="0">
      <selection activeCell="I32" sqref="I32"/>
    </sheetView>
  </sheetViews>
  <sheetFormatPr defaultColWidth="9.14285714285714" defaultRowHeight="15"/>
  <cols>
    <col min="1" max="1" width="26.1428571428571" customWidth="1"/>
    <col min="2" max="2" width="15.8571428571429" customWidth="1"/>
    <col min="3" max="4" width="13.5714285714286" style="1" customWidth="1"/>
    <col min="5" max="6" width="14.1428571428571" style="1" customWidth="1"/>
    <col min="7" max="7" width="11.7142857142857" style="1" customWidth="1"/>
    <col min="8" max="9" width="15.7142857142857" style="1" customWidth="1"/>
    <col min="10" max="10" width="10" style="1" customWidth="1"/>
    <col min="11" max="14" width="10" customWidth="1"/>
    <col min="15" max="15" width="13.2857142857143" customWidth="1"/>
    <col min="16" max="16" width="12.5714285714286" customWidth="1"/>
    <col min="17" max="17" width="10" customWidth="1"/>
  </cols>
  <sheetData>
    <row r="1" ht="19.5" spans="1:15">
      <c r="A1" s="2" t="s">
        <v>181</v>
      </c>
      <c r="B1" s="3"/>
      <c r="C1" s="4"/>
      <c r="D1" s="4"/>
      <c r="E1" s="4"/>
      <c r="F1" s="4"/>
      <c r="G1" s="4"/>
      <c r="H1" s="4"/>
      <c r="I1" s="4"/>
      <c r="J1" s="4"/>
      <c r="O1">
        <v>6600</v>
      </c>
    </row>
    <row r="2" ht="16.5" hidden="1" spans="1:17">
      <c r="A2" s="1" t="s">
        <v>124</v>
      </c>
      <c r="B2" s="1" t="s">
        <v>125</v>
      </c>
      <c r="C2" s="1" t="s">
        <v>126</v>
      </c>
      <c r="D2" s="1"/>
      <c r="E2" s="1">
        <v>45292</v>
      </c>
      <c r="F2" s="1"/>
      <c r="G2" s="1"/>
      <c r="H2" s="1">
        <v>45352</v>
      </c>
      <c r="I2" s="1"/>
      <c r="J2" s="1" t="s">
        <v>71</v>
      </c>
      <c r="K2" s="17">
        <v>45292</v>
      </c>
      <c r="L2" s="17" t="s">
        <v>127</v>
      </c>
      <c r="M2" s="17">
        <v>45352</v>
      </c>
      <c r="N2" s="17" t="s">
        <v>71</v>
      </c>
      <c r="O2" s="17" t="s">
        <v>128</v>
      </c>
      <c r="P2" s="17" t="s">
        <v>129</v>
      </c>
      <c r="Q2" s="19" t="s">
        <v>130</v>
      </c>
    </row>
    <row r="3" ht="16.5" spans="1:17">
      <c r="A3" s="5"/>
      <c r="B3" s="5"/>
      <c r="C3" s="25" t="s">
        <v>88</v>
      </c>
      <c r="D3" s="25"/>
      <c r="E3" s="25"/>
      <c r="F3" s="25"/>
      <c r="G3" s="25" t="s">
        <v>89</v>
      </c>
      <c r="H3" s="25"/>
      <c r="I3" s="25"/>
      <c r="J3" s="25"/>
      <c r="K3" s="18"/>
      <c r="L3" s="18"/>
      <c r="M3" s="18"/>
      <c r="N3" s="18"/>
      <c r="O3" s="18"/>
      <c r="P3" s="18"/>
      <c r="Q3" s="18"/>
    </row>
    <row r="4" ht="16.5" spans="1:17">
      <c r="A4" s="5"/>
      <c r="B4" s="5"/>
      <c r="C4" s="7"/>
      <c r="D4" s="7"/>
      <c r="E4" s="7"/>
      <c r="F4" s="7"/>
      <c r="G4" s="7"/>
      <c r="H4" s="7"/>
      <c r="I4" s="7"/>
      <c r="J4" s="7"/>
      <c r="K4" s="18"/>
      <c r="L4" s="18"/>
      <c r="M4" s="18"/>
      <c r="N4" s="18"/>
      <c r="O4" s="18"/>
      <c r="P4" s="18"/>
      <c r="Q4" s="18"/>
    </row>
    <row r="5" ht="15.75" spans="1:17">
      <c r="A5" s="8" t="s">
        <v>124</v>
      </c>
      <c r="B5" s="8" t="s">
        <v>125</v>
      </c>
      <c r="C5" s="8" t="s">
        <v>131</v>
      </c>
      <c r="D5" s="8" t="s">
        <v>132</v>
      </c>
      <c r="E5" s="8" t="s">
        <v>133</v>
      </c>
      <c r="F5" s="8" t="s">
        <v>134</v>
      </c>
      <c r="G5" s="8" t="s">
        <v>135</v>
      </c>
      <c r="H5" s="8" t="s">
        <v>136</v>
      </c>
      <c r="I5" s="8" t="s">
        <v>137</v>
      </c>
      <c r="J5" s="8" t="s">
        <v>133</v>
      </c>
      <c r="K5" s="19"/>
      <c r="L5" s="19"/>
      <c r="M5" s="19"/>
      <c r="N5" s="19"/>
      <c r="O5" s="19"/>
      <c r="P5" s="19"/>
      <c r="Q5" s="19"/>
    </row>
    <row r="6" spans="1:14">
      <c r="A6" s="9" t="s">
        <v>182</v>
      </c>
      <c r="B6" s="9"/>
      <c r="C6" s="10">
        <v>3300</v>
      </c>
      <c r="D6" s="11">
        <v>1500</v>
      </c>
      <c r="E6" s="12">
        <f>C6-D6</f>
        <v>1800</v>
      </c>
      <c r="F6" s="13" t="s">
        <v>139</v>
      </c>
      <c r="G6" s="10">
        <f>E6</f>
        <v>1800</v>
      </c>
      <c r="H6" s="10">
        <v>2400</v>
      </c>
      <c r="I6" s="11">
        <v>3400</v>
      </c>
      <c r="J6" s="12">
        <f>G6+H6-I6</f>
        <v>800</v>
      </c>
      <c r="N6" s="20"/>
    </row>
    <row r="7" spans="1:14">
      <c r="A7" s="9" t="s">
        <v>183</v>
      </c>
      <c r="B7" s="9"/>
      <c r="C7" s="10">
        <v>3300</v>
      </c>
      <c r="D7" s="11">
        <v>3450</v>
      </c>
      <c r="E7" s="12">
        <f>C7-D7</f>
        <v>-150</v>
      </c>
      <c r="F7" s="13"/>
      <c r="G7" s="10">
        <f>E7</f>
        <v>-150</v>
      </c>
      <c r="H7" s="10">
        <v>2400</v>
      </c>
      <c r="I7" s="11">
        <v>2300</v>
      </c>
      <c r="J7" s="12">
        <f t="shared" ref="J7:J21" si="0">G7+H7-I7</f>
        <v>-50</v>
      </c>
      <c r="N7" s="20"/>
    </row>
    <row r="8" spans="1:14">
      <c r="A8" s="9" t="s">
        <v>184</v>
      </c>
      <c r="B8" s="9"/>
      <c r="C8" s="10">
        <v>5100</v>
      </c>
      <c r="D8" s="11">
        <v>4800</v>
      </c>
      <c r="E8" s="12">
        <f>C8-D8</f>
        <v>300</v>
      </c>
      <c r="F8" s="13"/>
      <c r="G8" s="10">
        <f>E8</f>
        <v>300</v>
      </c>
      <c r="H8" s="10">
        <v>4200</v>
      </c>
      <c r="I8" s="11">
        <v>2500</v>
      </c>
      <c r="J8" s="12">
        <f t="shared" si="0"/>
        <v>2000</v>
      </c>
      <c r="N8" s="20"/>
    </row>
    <row r="9" spans="1:14">
      <c r="A9" s="9" t="s">
        <v>185</v>
      </c>
      <c r="B9" s="9"/>
      <c r="C9" s="10">
        <v>3300</v>
      </c>
      <c r="D9" s="11">
        <v>3500</v>
      </c>
      <c r="E9" s="12">
        <f>C9-D9</f>
        <v>-200</v>
      </c>
      <c r="F9" s="13"/>
      <c r="G9" s="10">
        <f>E9</f>
        <v>-200</v>
      </c>
      <c r="H9" s="10">
        <v>2400</v>
      </c>
      <c r="I9" s="11">
        <v>1500</v>
      </c>
      <c r="J9" s="12">
        <f t="shared" si="0"/>
        <v>700</v>
      </c>
      <c r="N9" s="20"/>
    </row>
    <row r="10" spans="1:14">
      <c r="A10" s="9" t="s">
        <v>186</v>
      </c>
      <c r="B10" s="9"/>
      <c r="C10" s="10">
        <v>3300</v>
      </c>
      <c r="D10" s="11">
        <v>3000</v>
      </c>
      <c r="E10" s="12">
        <f t="shared" ref="E10:E25" si="1">C10-D10</f>
        <v>300</v>
      </c>
      <c r="F10" s="13"/>
      <c r="G10" s="10">
        <f>E10</f>
        <v>300</v>
      </c>
      <c r="H10" s="10">
        <v>2400</v>
      </c>
      <c r="I10" s="11">
        <v>0</v>
      </c>
      <c r="J10" s="12">
        <f t="shared" si="0"/>
        <v>2700</v>
      </c>
      <c r="N10" s="20"/>
    </row>
    <row r="11" spans="1:14">
      <c r="A11" s="9" t="s">
        <v>187</v>
      </c>
      <c r="B11" s="9"/>
      <c r="C11" s="10">
        <v>3300</v>
      </c>
      <c r="D11" s="11">
        <v>3300</v>
      </c>
      <c r="E11" s="12">
        <f t="shared" si="1"/>
        <v>0</v>
      </c>
      <c r="F11" s="13"/>
      <c r="G11" s="10">
        <f>E11</f>
        <v>0</v>
      </c>
      <c r="H11" s="10">
        <v>2400</v>
      </c>
      <c r="I11" s="11">
        <v>2400</v>
      </c>
      <c r="J11" s="12">
        <f t="shared" si="0"/>
        <v>0</v>
      </c>
      <c r="N11" s="20"/>
    </row>
    <row r="12" spans="1:16">
      <c r="A12" s="9" t="s">
        <v>188</v>
      </c>
      <c r="B12" s="9"/>
      <c r="C12" s="10">
        <v>9800</v>
      </c>
      <c r="D12" s="11">
        <v>4500</v>
      </c>
      <c r="E12" s="12">
        <f t="shared" si="1"/>
        <v>5300</v>
      </c>
      <c r="F12" s="13"/>
      <c r="G12" s="10">
        <f>E12</f>
        <v>5300</v>
      </c>
      <c r="H12" s="10">
        <v>2400</v>
      </c>
      <c r="I12" s="11">
        <v>0</v>
      </c>
      <c r="J12" s="12">
        <f t="shared" si="0"/>
        <v>7700</v>
      </c>
      <c r="K12" s="20"/>
      <c r="L12" s="20"/>
      <c r="M12" s="20"/>
      <c r="N12" s="20"/>
      <c r="O12" s="20"/>
      <c r="P12" s="20"/>
    </row>
    <row r="13" spans="1:10">
      <c r="A13" s="9" t="s">
        <v>189</v>
      </c>
      <c r="B13" s="9"/>
      <c r="C13" s="10">
        <v>8400</v>
      </c>
      <c r="D13" s="11">
        <v>8300</v>
      </c>
      <c r="E13" s="12">
        <f t="shared" si="1"/>
        <v>100</v>
      </c>
      <c r="F13" s="13"/>
      <c r="G13" s="10">
        <f>E13</f>
        <v>100</v>
      </c>
      <c r="H13" s="10">
        <v>4200</v>
      </c>
      <c r="I13" s="11">
        <v>1000</v>
      </c>
      <c r="J13" s="12">
        <f t="shared" si="0"/>
        <v>3300</v>
      </c>
    </row>
    <row r="14" spans="1:10">
      <c r="A14" s="9" t="s">
        <v>190</v>
      </c>
      <c r="B14" s="9"/>
      <c r="C14" s="10">
        <v>14800</v>
      </c>
      <c r="D14" s="11">
        <v>8400</v>
      </c>
      <c r="E14" s="12">
        <f t="shared" si="1"/>
        <v>6400</v>
      </c>
      <c r="F14" s="13"/>
      <c r="G14" s="10">
        <f>E14</f>
        <v>6400</v>
      </c>
      <c r="H14" s="10">
        <v>2400</v>
      </c>
      <c r="I14" s="11">
        <v>1400</v>
      </c>
      <c r="J14" s="12">
        <f t="shared" si="0"/>
        <v>7400</v>
      </c>
    </row>
    <row r="15" spans="1:10">
      <c r="A15" s="9" t="s">
        <v>191</v>
      </c>
      <c r="B15" s="9"/>
      <c r="C15" s="10">
        <v>12300</v>
      </c>
      <c r="D15" s="11">
        <v>10500</v>
      </c>
      <c r="E15" s="12">
        <f t="shared" si="1"/>
        <v>1800</v>
      </c>
      <c r="F15" s="13"/>
      <c r="G15" s="10">
        <f>E15</f>
        <v>1800</v>
      </c>
      <c r="H15" s="10">
        <v>0</v>
      </c>
      <c r="I15" s="11"/>
      <c r="J15" s="12">
        <f t="shared" si="0"/>
        <v>1800</v>
      </c>
    </row>
    <row r="16" spans="1:10">
      <c r="A16" s="9" t="s">
        <v>192</v>
      </c>
      <c r="B16" s="9"/>
      <c r="C16" s="10">
        <v>3300</v>
      </c>
      <c r="D16" s="11">
        <v>1900</v>
      </c>
      <c r="E16" s="12">
        <f t="shared" si="1"/>
        <v>1400</v>
      </c>
      <c r="F16" s="13"/>
      <c r="G16" s="10">
        <f>E16</f>
        <v>1400</v>
      </c>
      <c r="H16" s="10">
        <v>2400</v>
      </c>
      <c r="I16" s="11">
        <v>2300</v>
      </c>
      <c r="J16" s="12">
        <f t="shared" si="0"/>
        <v>1500</v>
      </c>
    </row>
    <row r="17" spans="1:10">
      <c r="A17" s="9" t="s">
        <v>193</v>
      </c>
      <c r="B17" s="9"/>
      <c r="C17" s="10">
        <v>3300</v>
      </c>
      <c r="D17" s="11">
        <v>3300</v>
      </c>
      <c r="E17" s="12">
        <f>C17-D17</f>
        <v>0</v>
      </c>
      <c r="F17" s="13"/>
      <c r="G17" s="10">
        <f>E17</f>
        <v>0</v>
      </c>
      <c r="H17" s="10">
        <v>2400</v>
      </c>
      <c r="I17" s="11"/>
      <c r="J17" s="12">
        <f t="shared" si="0"/>
        <v>2400</v>
      </c>
    </row>
    <row r="18" spans="1:10">
      <c r="A18" s="9" t="s">
        <v>194</v>
      </c>
      <c r="B18" s="9"/>
      <c r="C18" s="10">
        <v>3300</v>
      </c>
      <c r="D18" s="11">
        <v>2500</v>
      </c>
      <c r="E18" s="12">
        <f>C18-D18</f>
        <v>800</v>
      </c>
      <c r="F18" s="13"/>
      <c r="G18" s="10">
        <f>E18</f>
        <v>800</v>
      </c>
      <c r="H18" s="10">
        <v>4500</v>
      </c>
      <c r="I18" s="11">
        <v>2750</v>
      </c>
      <c r="J18" s="12">
        <f t="shared" si="0"/>
        <v>2550</v>
      </c>
    </row>
    <row r="19" spans="1:10">
      <c r="A19" s="9" t="s">
        <v>195</v>
      </c>
      <c r="B19" s="9"/>
      <c r="C19" s="10">
        <v>5100</v>
      </c>
      <c r="D19" s="11">
        <v>3500</v>
      </c>
      <c r="E19" s="12">
        <f>C19-D19</f>
        <v>1600</v>
      </c>
      <c r="F19" s="13"/>
      <c r="G19" s="10">
        <f>E19</f>
        <v>1600</v>
      </c>
      <c r="H19" s="10">
        <v>4200</v>
      </c>
      <c r="I19" s="11">
        <v>5300</v>
      </c>
      <c r="J19" s="12">
        <f t="shared" si="0"/>
        <v>500</v>
      </c>
    </row>
    <row r="20" spans="1:10">
      <c r="A20" s="9" t="s">
        <v>196</v>
      </c>
      <c r="B20" s="9"/>
      <c r="C20" s="10">
        <v>5100</v>
      </c>
      <c r="D20" s="11">
        <v>5100</v>
      </c>
      <c r="E20" s="12">
        <f>C20-D20</f>
        <v>0</v>
      </c>
      <c r="F20" s="13"/>
      <c r="G20" s="10">
        <f>E20</f>
        <v>0</v>
      </c>
      <c r="H20" s="10">
        <v>4200</v>
      </c>
      <c r="I20" s="11">
        <v>3000</v>
      </c>
      <c r="J20" s="12">
        <f t="shared" si="0"/>
        <v>1200</v>
      </c>
    </row>
    <row r="21" spans="1:10">
      <c r="A21" s="9" t="s">
        <v>197</v>
      </c>
      <c r="B21" s="9"/>
      <c r="C21" s="10">
        <v>6600</v>
      </c>
      <c r="D21" s="11">
        <v>6600</v>
      </c>
      <c r="E21" s="12">
        <f>C21-D21</f>
        <v>0</v>
      </c>
      <c r="F21" s="13"/>
      <c r="G21" s="10">
        <f>E21</f>
        <v>0</v>
      </c>
      <c r="H21" s="10">
        <v>6600</v>
      </c>
      <c r="I21" s="11">
        <v>3000</v>
      </c>
      <c r="J21" s="12">
        <f t="shared" si="0"/>
        <v>3600</v>
      </c>
    </row>
    <row r="22" ht="15.75" spans="1:10">
      <c r="A22" s="14" t="s">
        <v>71</v>
      </c>
      <c r="B22" s="15"/>
      <c r="C22" s="16">
        <f>SUM(C6:C20)</f>
        <v>87000</v>
      </c>
      <c r="D22" s="16">
        <f>SUM(D6:D20)</f>
        <v>67550</v>
      </c>
      <c r="E22" s="21">
        <f>SUM(E6:E21)</f>
        <v>19450</v>
      </c>
      <c r="F22" s="15"/>
      <c r="G22" s="16">
        <f>SUM(G6:G21)</f>
        <v>19450</v>
      </c>
      <c r="H22" s="16">
        <f>SUM(H6:H21)</f>
        <v>49500</v>
      </c>
      <c r="I22" s="16">
        <f>SUM(I6:I21)</f>
        <v>30850</v>
      </c>
      <c r="J22" s="21">
        <f>SUM(J6:J21)</f>
        <v>38100</v>
      </c>
    </row>
    <row r="23" ht="15.75"/>
    <row r="43" spans="5:5">
      <c r="E43" s="1">
        <f>C43-D43</f>
        <v>0</v>
      </c>
    </row>
  </sheetData>
  <mergeCells count="6">
    <mergeCell ref="A1:J1"/>
    <mergeCell ref="C3:F3"/>
    <mergeCell ref="G3:J3"/>
    <mergeCell ref="K3:Q3"/>
    <mergeCell ref="C4:J4"/>
    <mergeCell ref="K4:Q4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I36" sqref="I36"/>
    </sheetView>
  </sheetViews>
  <sheetFormatPr defaultColWidth="9.14285714285714" defaultRowHeight="15"/>
  <cols>
    <col min="1" max="1" width="26.1428571428571" customWidth="1"/>
    <col min="2" max="2" width="15.8571428571429" customWidth="1"/>
    <col min="3" max="4" width="13.5714285714286" style="1" customWidth="1"/>
    <col min="5" max="6" width="14.1428571428571" style="1" customWidth="1"/>
    <col min="7" max="7" width="11.7142857142857" style="1" customWidth="1"/>
    <col min="8" max="9" width="15.7142857142857" style="1" customWidth="1"/>
    <col min="10" max="10" width="10" style="1" customWidth="1"/>
    <col min="11" max="14" width="10" customWidth="1"/>
    <col min="15" max="15" width="13.2857142857143" customWidth="1"/>
    <col min="16" max="16" width="12.5714285714286" customWidth="1"/>
    <col min="17" max="17" width="10" customWidth="1"/>
  </cols>
  <sheetData>
    <row r="1" customFormat="1" ht="19.5" spans="1:15">
      <c r="A1" s="2" t="s">
        <v>198</v>
      </c>
      <c r="B1" s="3"/>
      <c r="C1" s="4"/>
      <c r="D1" s="4"/>
      <c r="E1" s="4"/>
      <c r="F1" s="4"/>
      <c r="G1" s="4"/>
      <c r="H1" s="4"/>
      <c r="I1" s="4"/>
      <c r="J1" s="4"/>
      <c r="O1">
        <v>6600</v>
      </c>
    </row>
    <row r="2" customFormat="1" ht="16.5" hidden="1" spans="1:17">
      <c r="A2" s="1" t="s">
        <v>124</v>
      </c>
      <c r="B2" s="1" t="s">
        <v>125</v>
      </c>
      <c r="C2" s="1" t="s">
        <v>126</v>
      </c>
      <c r="D2" s="1"/>
      <c r="E2" s="1">
        <v>45292</v>
      </c>
      <c r="F2" s="1"/>
      <c r="G2" s="1"/>
      <c r="H2" s="1">
        <v>45352</v>
      </c>
      <c r="I2" s="1"/>
      <c r="J2" s="1" t="s">
        <v>71</v>
      </c>
      <c r="K2" s="17">
        <v>45292</v>
      </c>
      <c r="L2" s="17" t="s">
        <v>127</v>
      </c>
      <c r="M2" s="17">
        <v>45352</v>
      </c>
      <c r="N2" s="17" t="s">
        <v>71</v>
      </c>
      <c r="O2" s="17" t="s">
        <v>128</v>
      </c>
      <c r="P2" s="17" t="s">
        <v>129</v>
      </c>
      <c r="Q2" s="19" t="s">
        <v>130</v>
      </c>
    </row>
    <row r="3" customFormat="1" ht="16.5" spans="1:17">
      <c r="A3" s="5"/>
      <c r="B3" s="5"/>
      <c r="C3" s="6" t="s">
        <v>88</v>
      </c>
      <c r="D3" s="6"/>
      <c r="E3" s="6"/>
      <c r="F3" s="6"/>
      <c r="G3" s="6" t="s">
        <v>89</v>
      </c>
      <c r="H3" s="6"/>
      <c r="I3" s="6"/>
      <c r="J3" s="6"/>
      <c r="K3" s="18"/>
      <c r="L3" s="18"/>
      <c r="M3" s="18"/>
      <c r="N3" s="18"/>
      <c r="O3" s="18"/>
      <c r="P3" s="18"/>
      <c r="Q3" s="18"/>
    </row>
    <row r="4" customFormat="1" ht="16.5" spans="1:17">
      <c r="A4" s="5"/>
      <c r="B4" s="5"/>
      <c r="C4" s="7"/>
      <c r="D4" s="7"/>
      <c r="E4" s="7"/>
      <c r="F4" s="7"/>
      <c r="G4" s="7"/>
      <c r="H4" s="7"/>
      <c r="I4" s="7"/>
      <c r="J4" s="7"/>
      <c r="K4" s="18"/>
      <c r="L4" s="18"/>
      <c r="M4" s="18"/>
      <c r="N4" s="18"/>
      <c r="O4" s="18"/>
      <c r="P4" s="18"/>
      <c r="Q4" s="18"/>
    </row>
    <row r="5" customFormat="1" ht="15.75" spans="1:17">
      <c r="A5" s="8" t="s">
        <v>124</v>
      </c>
      <c r="B5" s="8" t="s">
        <v>125</v>
      </c>
      <c r="C5" s="8" t="s">
        <v>131</v>
      </c>
      <c r="D5" s="8" t="s">
        <v>132</v>
      </c>
      <c r="E5" s="8" t="s">
        <v>133</v>
      </c>
      <c r="F5" s="8" t="s">
        <v>134</v>
      </c>
      <c r="G5" s="8" t="s">
        <v>135</v>
      </c>
      <c r="H5" s="8" t="s">
        <v>136</v>
      </c>
      <c r="I5" s="8" t="s">
        <v>137</v>
      </c>
      <c r="J5" s="8" t="s">
        <v>133</v>
      </c>
      <c r="K5" s="19"/>
      <c r="L5" s="19"/>
      <c r="M5" s="19"/>
      <c r="N5" s="19"/>
      <c r="O5" s="19"/>
      <c r="P5" s="19"/>
      <c r="Q5" s="19"/>
    </row>
    <row r="6" customFormat="1" spans="1:14">
      <c r="A6" s="9" t="s">
        <v>199</v>
      </c>
      <c r="B6" s="9"/>
      <c r="C6" s="10">
        <v>4600</v>
      </c>
      <c r="D6" s="11">
        <v>5600</v>
      </c>
      <c r="E6" s="12">
        <f t="shared" ref="E6:E21" si="0">C6-D6</f>
        <v>-1000</v>
      </c>
      <c r="F6" s="13" t="s">
        <v>139</v>
      </c>
      <c r="G6" s="10">
        <f>E6</f>
        <v>-1000</v>
      </c>
      <c r="H6" s="10">
        <v>0</v>
      </c>
      <c r="I6" s="11">
        <v>0</v>
      </c>
      <c r="J6" s="12">
        <f t="shared" ref="J6:J22" si="1">G6+H6-I6</f>
        <v>-1000</v>
      </c>
      <c r="N6" s="20"/>
    </row>
    <row r="7" customFormat="1" spans="1:14">
      <c r="A7" s="9" t="s">
        <v>200</v>
      </c>
      <c r="B7" s="9"/>
      <c r="C7" s="10">
        <v>3300</v>
      </c>
      <c r="D7" s="11">
        <v>1600</v>
      </c>
      <c r="E7" s="12">
        <f t="shared" si="0"/>
        <v>1700</v>
      </c>
      <c r="F7" s="13"/>
      <c r="G7" s="10">
        <f t="shared" ref="G7:G21" si="2">E7</f>
        <v>1700</v>
      </c>
      <c r="H7" s="10">
        <v>2400</v>
      </c>
      <c r="I7" s="11">
        <v>500</v>
      </c>
      <c r="J7" s="12">
        <f t="shared" si="1"/>
        <v>3600</v>
      </c>
      <c r="N7" s="20"/>
    </row>
    <row r="8" customFormat="1" spans="1:14">
      <c r="A8" s="9" t="s">
        <v>201</v>
      </c>
      <c r="B8" s="9"/>
      <c r="C8" s="10">
        <v>8800</v>
      </c>
      <c r="D8" s="11">
        <v>2600</v>
      </c>
      <c r="E8" s="12">
        <f t="shared" si="0"/>
        <v>6200</v>
      </c>
      <c r="F8" s="13"/>
      <c r="G8" s="10">
        <f t="shared" si="2"/>
        <v>6200</v>
      </c>
      <c r="H8" s="10">
        <v>2400</v>
      </c>
      <c r="I8" s="11">
        <v>0</v>
      </c>
      <c r="J8" s="12">
        <f t="shared" si="1"/>
        <v>8600</v>
      </c>
      <c r="N8" s="20"/>
    </row>
    <row r="9" customFormat="1" spans="1:14">
      <c r="A9" s="9" t="s">
        <v>202</v>
      </c>
      <c r="B9" s="9"/>
      <c r="C9" s="10">
        <v>4800</v>
      </c>
      <c r="D9" s="11">
        <v>2000</v>
      </c>
      <c r="E9" s="12">
        <f t="shared" si="0"/>
        <v>2800</v>
      </c>
      <c r="F9" s="13"/>
      <c r="G9" s="10">
        <f t="shared" si="2"/>
        <v>2800</v>
      </c>
      <c r="H9" s="10">
        <v>2400</v>
      </c>
      <c r="I9" s="11">
        <v>0</v>
      </c>
      <c r="J9" s="12">
        <f t="shared" si="1"/>
        <v>5200</v>
      </c>
      <c r="N9" s="20"/>
    </row>
    <row r="10" customFormat="1" spans="1:14">
      <c r="A10" s="9" t="s">
        <v>203</v>
      </c>
      <c r="B10" s="9"/>
      <c r="C10" s="10">
        <v>3300</v>
      </c>
      <c r="D10" s="11">
        <v>4350</v>
      </c>
      <c r="E10" s="12">
        <f t="shared" si="0"/>
        <v>-1050</v>
      </c>
      <c r="F10" s="13"/>
      <c r="G10" s="10">
        <f t="shared" si="2"/>
        <v>-1050</v>
      </c>
      <c r="H10" s="10">
        <v>3450</v>
      </c>
      <c r="I10" s="11">
        <v>1000</v>
      </c>
      <c r="J10" s="12">
        <f t="shared" si="1"/>
        <v>1400</v>
      </c>
      <c r="N10" s="20"/>
    </row>
    <row r="11" customFormat="1" spans="1:14">
      <c r="A11" s="9" t="s">
        <v>204</v>
      </c>
      <c r="B11" s="9"/>
      <c r="C11" s="10">
        <v>4800</v>
      </c>
      <c r="D11" s="11">
        <v>4800</v>
      </c>
      <c r="E11" s="12">
        <f t="shared" si="0"/>
        <v>0</v>
      </c>
      <c r="F11" s="13"/>
      <c r="G11" s="10">
        <f t="shared" si="2"/>
        <v>0</v>
      </c>
      <c r="H11" s="10">
        <v>2400</v>
      </c>
      <c r="I11" s="11">
        <v>0</v>
      </c>
      <c r="J11" s="12">
        <f t="shared" si="1"/>
        <v>2400</v>
      </c>
      <c r="N11" s="20"/>
    </row>
    <row r="12" customFormat="1" spans="1:16">
      <c r="A12" s="9" t="s">
        <v>205</v>
      </c>
      <c r="B12" s="9"/>
      <c r="C12" s="10">
        <v>5100</v>
      </c>
      <c r="D12" s="11">
        <v>7050</v>
      </c>
      <c r="E12" s="12">
        <f t="shared" si="0"/>
        <v>-1950</v>
      </c>
      <c r="F12" s="13"/>
      <c r="G12" s="10">
        <f t="shared" ref="G12:G17" si="3">E12</f>
        <v>-1950</v>
      </c>
      <c r="H12" s="10">
        <v>4200</v>
      </c>
      <c r="I12" s="11">
        <v>3300</v>
      </c>
      <c r="J12" s="12">
        <f t="shared" si="1"/>
        <v>-1050</v>
      </c>
      <c r="K12" s="20"/>
      <c r="L12" s="20"/>
      <c r="M12" s="20"/>
      <c r="N12" s="20"/>
      <c r="O12" s="20"/>
      <c r="P12" s="20"/>
    </row>
    <row r="13" customFormat="1" spans="1:10">
      <c r="A13" s="9" t="s">
        <v>206</v>
      </c>
      <c r="B13" s="9"/>
      <c r="C13" s="10">
        <v>5100</v>
      </c>
      <c r="D13" s="11">
        <v>5100</v>
      </c>
      <c r="E13" s="12">
        <f t="shared" si="0"/>
        <v>0</v>
      </c>
      <c r="F13" s="13"/>
      <c r="G13" s="10">
        <f t="shared" si="3"/>
        <v>0</v>
      </c>
      <c r="H13" s="10">
        <v>4200</v>
      </c>
      <c r="I13" s="11">
        <v>4200</v>
      </c>
      <c r="J13" s="12">
        <f t="shared" si="1"/>
        <v>0</v>
      </c>
    </row>
    <row r="14" customFormat="1" spans="1:10">
      <c r="A14" s="9" t="s">
        <v>207</v>
      </c>
      <c r="B14" s="9"/>
      <c r="C14" s="10">
        <v>7100</v>
      </c>
      <c r="D14" s="11">
        <v>5000</v>
      </c>
      <c r="E14" s="12">
        <f t="shared" si="0"/>
        <v>2100</v>
      </c>
      <c r="F14" s="13"/>
      <c r="G14" s="10">
        <f t="shared" si="3"/>
        <v>2100</v>
      </c>
      <c r="H14" s="10">
        <v>4200</v>
      </c>
      <c r="I14" s="11">
        <v>0</v>
      </c>
      <c r="J14" s="12">
        <f t="shared" si="1"/>
        <v>6300</v>
      </c>
    </row>
    <row r="15" customFormat="1" spans="1:10">
      <c r="A15" s="9" t="s">
        <v>208</v>
      </c>
      <c r="B15" s="9"/>
      <c r="C15" s="10">
        <v>3300</v>
      </c>
      <c r="D15" s="11">
        <v>3000</v>
      </c>
      <c r="E15" s="12">
        <f t="shared" si="0"/>
        <v>300</v>
      </c>
      <c r="F15" s="13"/>
      <c r="G15" s="10">
        <f t="shared" si="3"/>
        <v>300</v>
      </c>
      <c r="H15" s="10">
        <v>2400</v>
      </c>
      <c r="I15" s="11">
        <v>2000</v>
      </c>
      <c r="J15" s="12">
        <f t="shared" si="1"/>
        <v>700</v>
      </c>
    </row>
    <row r="16" customFormat="1" spans="1:10">
      <c r="A16" s="9" t="s">
        <v>209</v>
      </c>
      <c r="B16" s="9"/>
      <c r="C16" s="10">
        <v>3300</v>
      </c>
      <c r="D16" s="11">
        <v>2000</v>
      </c>
      <c r="E16" s="12">
        <f t="shared" si="0"/>
        <v>1300</v>
      </c>
      <c r="F16" s="13"/>
      <c r="G16" s="10">
        <f t="shared" si="3"/>
        <v>1300</v>
      </c>
      <c r="H16" s="10">
        <v>2400</v>
      </c>
      <c r="I16" s="11">
        <v>2000</v>
      </c>
      <c r="J16" s="12">
        <f t="shared" si="1"/>
        <v>1700</v>
      </c>
    </row>
    <row r="17" customFormat="1" spans="1:10">
      <c r="A17" s="9" t="s">
        <v>210</v>
      </c>
      <c r="B17" s="65" t="s">
        <v>211</v>
      </c>
      <c r="C17" s="10">
        <v>4800</v>
      </c>
      <c r="D17" s="11">
        <v>1000</v>
      </c>
      <c r="E17" s="12">
        <f t="shared" si="0"/>
        <v>3800</v>
      </c>
      <c r="F17" s="13"/>
      <c r="G17" s="10">
        <f>E17</f>
        <v>3800</v>
      </c>
      <c r="H17" s="10">
        <v>4200</v>
      </c>
      <c r="I17" s="11">
        <v>1000</v>
      </c>
      <c r="J17" s="12">
        <f t="shared" ref="J17:J25" si="4">G17+H17-I17</f>
        <v>7000</v>
      </c>
    </row>
    <row r="18" customFormat="1" spans="1:10">
      <c r="A18" s="9" t="s">
        <v>212</v>
      </c>
      <c r="B18" s="9"/>
      <c r="C18" s="10">
        <v>5100</v>
      </c>
      <c r="D18" s="11">
        <v>5100</v>
      </c>
      <c r="E18" s="12">
        <f t="shared" si="0"/>
        <v>0</v>
      </c>
      <c r="F18" s="13"/>
      <c r="G18" s="10">
        <f t="shared" si="2"/>
        <v>0</v>
      </c>
      <c r="H18" s="10">
        <v>4200</v>
      </c>
      <c r="I18" s="11">
        <v>3000</v>
      </c>
      <c r="J18" s="12">
        <f t="shared" si="4"/>
        <v>1200</v>
      </c>
    </row>
    <row r="19" customFormat="1" spans="1:10">
      <c r="A19" s="9" t="s">
        <v>213</v>
      </c>
      <c r="B19" s="65" t="s">
        <v>214</v>
      </c>
      <c r="C19" s="10">
        <v>3300</v>
      </c>
      <c r="D19" s="11">
        <v>2200</v>
      </c>
      <c r="E19" s="12">
        <f t="shared" si="0"/>
        <v>1100</v>
      </c>
      <c r="F19" s="13"/>
      <c r="G19" s="10">
        <f t="shared" si="2"/>
        <v>1100</v>
      </c>
      <c r="H19" s="10">
        <v>2400</v>
      </c>
      <c r="I19" s="11">
        <v>800</v>
      </c>
      <c r="J19" s="12">
        <f t="shared" si="4"/>
        <v>2700</v>
      </c>
    </row>
    <row r="20" customFormat="1" spans="1:10">
      <c r="A20" s="9" t="s">
        <v>215</v>
      </c>
      <c r="B20" s="9"/>
      <c r="C20" s="10">
        <v>3300</v>
      </c>
      <c r="D20" s="11">
        <v>3300</v>
      </c>
      <c r="E20" s="12">
        <f>C20-D20</f>
        <v>0</v>
      </c>
      <c r="F20" s="13"/>
      <c r="G20" s="10">
        <f>E20</f>
        <v>0</v>
      </c>
      <c r="H20" s="10">
        <v>2400</v>
      </c>
      <c r="I20" s="11">
        <v>0</v>
      </c>
      <c r="J20" s="12">
        <f t="shared" si="4"/>
        <v>2400</v>
      </c>
    </row>
    <row r="21" customFormat="1" spans="1:10">
      <c r="A21" s="9" t="s">
        <v>216</v>
      </c>
      <c r="B21" s="9"/>
      <c r="C21" s="10">
        <v>3300</v>
      </c>
      <c r="D21" s="11">
        <v>3300</v>
      </c>
      <c r="E21" s="12">
        <f>C21-D21</f>
        <v>0</v>
      </c>
      <c r="F21" s="13"/>
      <c r="G21" s="10">
        <f>E21</f>
        <v>0</v>
      </c>
      <c r="H21" s="10">
        <v>2400</v>
      </c>
      <c r="I21" s="11">
        <v>2400</v>
      </c>
      <c r="J21" s="12">
        <f t="shared" si="4"/>
        <v>0</v>
      </c>
    </row>
    <row r="22" customFormat="1" spans="1:10">
      <c r="A22" s="9" t="s">
        <v>217</v>
      </c>
      <c r="B22" s="9"/>
      <c r="C22" s="10">
        <v>3300</v>
      </c>
      <c r="D22" s="11">
        <v>3000</v>
      </c>
      <c r="E22" s="12">
        <f>C22-D22</f>
        <v>300</v>
      </c>
      <c r="F22" s="13"/>
      <c r="G22" s="10">
        <f>E22</f>
        <v>300</v>
      </c>
      <c r="H22" s="10">
        <v>2400</v>
      </c>
      <c r="I22" s="11">
        <v>0</v>
      </c>
      <c r="J22" s="12">
        <f t="shared" si="4"/>
        <v>2700</v>
      </c>
    </row>
    <row r="23" customFormat="1" spans="1:10">
      <c r="A23" s="9" t="s">
        <v>218</v>
      </c>
      <c r="B23" s="9"/>
      <c r="C23" s="10">
        <v>3300</v>
      </c>
      <c r="D23" s="11">
        <v>2400</v>
      </c>
      <c r="E23" s="12">
        <f>C23-D23</f>
        <v>900</v>
      </c>
      <c r="F23" s="13"/>
      <c r="G23" s="10">
        <f>E23</f>
        <v>900</v>
      </c>
      <c r="H23" s="10">
        <v>2400</v>
      </c>
      <c r="I23" s="11">
        <v>0</v>
      </c>
      <c r="J23" s="12">
        <f t="shared" si="4"/>
        <v>3300</v>
      </c>
    </row>
    <row r="24" customFormat="1" spans="1:10">
      <c r="A24" s="9" t="s">
        <v>219</v>
      </c>
      <c r="B24" s="9"/>
      <c r="C24" s="10">
        <v>3300</v>
      </c>
      <c r="D24" s="11">
        <v>2600</v>
      </c>
      <c r="E24" s="12">
        <f>C24-D24</f>
        <v>700</v>
      </c>
      <c r="F24" s="13"/>
      <c r="G24" s="10">
        <f>E24</f>
        <v>700</v>
      </c>
      <c r="H24" s="10">
        <v>2400</v>
      </c>
      <c r="I24" s="11">
        <v>0</v>
      </c>
      <c r="J24" s="12">
        <f t="shared" si="4"/>
        <v>3100</v>
      </c>
    </row>
    <row r="25" customFormat="1" spans="1:10">
      <c r="A25" s="9" t="s">
        <v>220</v>
      </c>
      <c r="B25" s="9"/>
      <c r="C25" s="10">
        <v>3300</v>
      </c>
      <c r="D25" s="11">
        <v>3300</v>
      </c>
      <c r="E25" s="12">
        <f>C25-D25</f>
        <v>0</v>
      </c>
      <c r="F25" s="13"/>
      <c r="G25" s="10">
        <f>E25</f>
        <v>0</v>
      </c>
      <c r="H25" s="10">
        <v>2400</v>
      </c>
      <c r="I25" s="11">
        <v>0</v>
      </c>
      <c r="J25" s="12">
        <f t="shared" si="4"/>
        <v>2400</v>
      </c>
    </row>
    <row r="26" customFormat="1" spans="1:14">
      <c r="A26" s="9" t="s">
        <v>221</v>
      </c>
      <c r="B26" s="9"/>
      <c r="C26" s="10">
        <v>3300</v>
      </c>
      <c r="D26" s="11">
        <v>3300</v>
      </c>
      <c r="E26" s="12">
        <f>C26-D26</f>
        <v>0</v>
      </c>
      <c r="F26" s="13"/>
      <c r="G26" s="10">
        <f>E26</f>
        <v>0</v>
      </c>
      <c r="H26" s="10">
        <v>2400</v>
      </c>
      <c r="I26" s="11">
        <v>0</v>
      </c>
      <c r="J26" s="12">
        <f>G26+H26-I26</f>
        <v>2400</v>
      </c>
      <c r="N26">
        <f>2500+500+300+300+1100</f>
        <v>4700</v>
      </c>
    </row>
    <row r="27" customFormat="1" spans="1:10">
      <c r="A27" s="9" t="s">
        <v>222</v>
      </c>
      <c r="B27" s="9"/>
      <c r="C27" s="10">
        <v>3300</v>
      </c>
      <c r="D27" s="11">
        <v>300</v>
      </c>
      <c r="E27" s="22">
        <f>C27-D27</f>
        <v>3000</v>
      </c>
      <c r="F27" s="13"/>
      <c r="G27" s="10">
        <f>E27</f>
        <v>3000</v>
      </c>
      <c r="H27" s="10">
        <v>2400</v>
      </c>
      <c r="I27" s="11">
        <v>0</v>
      </c>
      <c r="J27" s="22">
        <f>G27+H27-I27</f>
        <v>5400</v>
      </c>
    </row>
    <row r="28" customFormat="1" spans="1:10">
      <c r="A28" s="9" t="s">
        <v>223</v>
      </c>
      <c r="B28" s="65" t="s">
        <v>224</v>
      </c>
      <c r="C28" s="10">
        <v>3300</v>
      </c>
      <c r="D28" s="11">
        <v>3300</v>
      </c>
      <c r="E28" s="12">
        <f>C28-D28</f>
        <v>0</v>
      </c>
      <c r="F28" s="13"/>
      <c r="G28" s="10">
        <f>E28</f>
        <v>0</v>
      </c>
      <c r="H28" s="10">
        <v>2400</v>
      </c>
      <c r="I28" s="11">
        <v>0</v>
      </c>
      <c r="J28" s="12">
        <f>G28+H28-I28</f>
        <v>2400</v>
      </c>
    </row>
    <row r="29" customFormat="1" spans="1:10">
      <c r="A29" s="9" t="s">
        <v>225</v>
      </c>
      <c r="B29" s="9"/>
      <c r="C29" s="10">
        <v>5100</v>
      </c>
      <c r="D29" s="11">
        <v>5400</v>
      </c>
      <c r="E29" s="12">
        <f>C29-D29</f>
        <v>-300</v>
      </c>
      <c r="F29" s="13"/>
      <c r="G29" s="10">
        <f>E29</f>
        <v>-300</v>
      </c>
      <c r="H29" s="10">
        <v>4200</v>
      </c>
      <c r="I29" s="11">
        <v>5200</v>
      </c>
      <c r="J29" s="12">
        <f>G29+H29-I29</f>
        <v>-1300</v>
      </c>
    </row>
    <row r="30" customFormat="1" spans="1:10">
      <c r="A30" t="s">
        <v>226</v>
      </c>
      <c r="C30" s="23">
        <v>5100</v>
      </c>
      <c r="D30" s="24">
        <v>5100</v>
      </c>
      <c r="E30" s="12">
        <f>C30-D30</f>
        <v>0</v>
      </c>
      <c r="F30" s="1"/>
      <c r="G30" s="10">
        <f>E30</f>
        <v>0</v>
      </c>
      <c r="H30" s="23">
        <v>4200</v>
      </c>
      <c r="I30" s="24"/>
      <c r="J30" s="12">
        <f>G30+H30-I30</f>
        <v>4200</v>
      </c>
    </row>
    <row r="31" customFormat="1" ht="15.75" spans="1:10">
      <c r="A31" s="14" t="s">
        <v>71</v>
      </c>
      <c r="B31" s="15"/>
      <c r="C31" s="16">
        <f>SUM(C6:C24)</f>
        <v>83200</v>
      </c>
      <c r="D31" s="16">
        <f>SUM(D6:D24)</f>
        <v>66000</v>
      </c>
      <c r="E31" s="21">
        <f>SUM(E6:E25)</f>
        <v>17200</v>
      </c>
      <c r="F31" s="15"/>
      <c r="G31" s="16">
        <f>E31</f>
        <v>17200</v>
      </c>
      <c r="H31" s="16">
        <f>SUM(H6:H30)</f>
        <v>71250</v>
      </c>
      <c r="I31" s="16">
        <f>SUM(I6:I30)</f>
        <v>25400</v>
      </c>
      <c r="J31" s="21">
        <f>SUM(J6:J30)</f>
        <v>65750</v>
      </c>
    </row>
    <row r="32" customFormat="1" ht="15.75" spans="3:10">
      <c r="C32" s="1"/>
      <c r="D32" s="1"/>
      <c r="E32" s="1"/>
      <c r="F32" s="1"/>
      <c r="G32" s="1"/>
      <c r="H32" s="1"/>
      <c r="I32" s="1"/>
      <c r="J32" s="1"/>
    </row>
    <row r="33" customFormat="1" spans="3:10">
      <c r="C33" s="1"/>
      <c r="D33" s="1"/>
      <c r="E33" s="1"/>
      <c r="F33" s="1"/>
      <c r="G33" s="1"/>
      <c r="H33" s="1"/>
      <c r="I33" s="1"/>
      <c r="J33" s="1"/>
    </row>
    <row r="34" customFormat="1" spans="3:10">
      <c r="C34" s="1"/>
      <c r="D34" s="1"/>
      <c r="E34" s="1"/>
      <c r="F34" s="1"/>
      <c r="G34" s="1"/>
      <c r="H34" s="1"/>
      <c r="I34" s="1"/>
      <c r="J34" s="1"/>
    </row>
    <row r="35" customFormat="1" spans="3:10">
      <c r="C35" s="1"/>
      <c r="D35" s="1"/>
      <c r="E35" s="1"/>
      <c r="F35" s="1"/>
      <c r="G35" s="1"/>
      <c r="H35" s="1"/>
      <c r="I35" s="1"/>
      <c r="J35" s="1"/>
    </row>
    <row r="36" customFormat="1" spans="3:10">
      <c r="C36" s="1"/>
      <c r="D36" s="1"/>
      <c r="E36" s="1"/>
      <c r="F36" s="1"/>
      <c r="G36" s="1"/>
      <c r="H36" s="1"/>
      <c r="I36" s="1"/>
      <c r="J36" s="1"/>
    </row>
    <row r="40" spans="15:15">
      <c r="O40">
        <f>2100+300+800+600+1000</f>
        <v>4800</v>
      </c>
    </row>
    <row r="52" spans="5:5">
      <c r="E52" s="1">
        <f>C52-D52</f>
        <v>0</v>
      </c>
    </row>
  </sheetData>
  <mergeCells count="6">
    <mergeCell ref="A1:J1"/>
    <mergeCell ref="C3:F3"/>
    <mergeCell ref="G3:J3"/>
    <mergeCell ref="K3:Q3"/>
    <mergeCell ref="C4:J4"/>
    <mergeCell ref="K4:Q4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workbookViewId="0">
      <selection activeCell="I35" sqref="I35"/>
    </sheetView>
  </sheetViews>
  <sheetFormatPr defaultColWidth="9.14285714285714" defaultRowHeight="15"/>
  <cols>
    <col min="1" max="1" width="26.1428571428571" customWidth="1"/>
    <col min="2" max="2" width="15.8571428571429" customWidth="1"/>
    <col min="3" max="4" width="13.5714285714286" style="1" customWidth="1"/>
    <col min="5" max="6" width="14.1428571428571" style="1" customWidth="1"/>
    <col min="7" max="7" width="11.7142857142857" style="1" customWidth="1"/>
    <col min="8" max="9" width="15.7142857142857" style="1" customWidth="1"/>
    <col min="10" max="10" width="10" style="1" customWidth="1"/>
    <col min="11" max="14" width="10" customWidth="1"/>
    <col min="15" max="15" width="13.2857142857143" customWidth="1"/>
    <col min="16" max="16" width="12.5714285714286" customWidth="1"/>
    <col min="17" max="17" width="10" customWidth="1"/>
  </cols>
  <sheetData>
    <row r="1" customFormat="1" ht="19.5" spans="1:15">
      <c r="A1" s="2" t="s">
        <v>227</v>
      </c>
      <c r="B1" s="3"/>
      <c r="C1" s="4"/>
      <c r="D1" s="4"/>
      <c r="E1" s="4"/>
      <c r="F1" s="4"/>
      <c r="G1" s="4"/>
      <c r="H1" s="4"/>
      <c r="I1" s="4"/>
      <c r="J1" s="4"/>
      <c r="O1">
        <v>6600</v>
      </c>
    </row>
    <row r="2" customFormat="1" ht="16.5" hidden="1" spans="1:17">
      <c r="A2" s="1" t="s">
        <v>124</v>
      </c>
      <c r="B2" s="1" t="s">
        <v>125</v>
      </c>
      <c r="C2" s="1" t="s">
        <v>126</v>
      </c>
      <c r="D2" s="1"/>
      <c r="E2" s="1">
        <v>45292</v>
      </c>
      <c r="F2" s="1"/>
      <c r="G2" s="1"/>
      <c r="H2" s="1">
        <v>45352</v>
      </c>
      <c r="I2" s="1"/>
      <c r="J2" s="1" t="s">
        <v>71</v>
      </c>
      <c r="K2" s="17">
        <v>45292</v>
      </c>
      <c r="L2" s="17" t="s">
        <v>127</v>
      </c>
      <c r="M2" s="17">
        <v>45352</v>
      </c>
      <c r="N2" s="17" t="s">
        <v>71</v>
      </c>
      <c r="O2" s="17" t="s">
        <v>128</v>
      </c>
      <c r="P2" s="17" t="s">
        <v>129</v>
      </c>
      <c r="Q2" s="19" t="s">
        <v>130</v>
      </c>
    </row>
    <row r="3" customFormat="1" ht="16.5" spans="1:17">
      <c r="A3" s="5"/>
      <c r="B3" s="5"/>
      <c r="C3" s="6" t="s">
        <v>88</v>
      </c>
      <c r="D3" s="6"/>
      <c r="E3" s="6"/>
      <c r="F3" s="6"/>
      <c r="G3" s="6" t="s">
        <v>89</v>
      </c>
      <c r="H3" s="6"/>
      <c r="I3" s="6"/>
      <c r="J3" s="6"/>
      <c r="K3" s="18"/>
      <c r="L3" s="18"/>
      <c r="M3" s="18"/>
      <c r="N3" s="18"/>
      <c r="O3" s="18"/>
      <c r="P3" s="18"/>
      <c r="Q3" s="18"/>
    </row>
    <row r="4" customFormat="1" ht="16.5" spans="1:17">
      <c r="A4" s="5"/>
      <c r="B4" s="5"/>
      <c r="C4" s="7"/>
      <c r="D4" s="7"/>
      <c r="E4" s="7"/>
      <c r="F4" s="7"/>
      <c r="G4" s="7"/>
      <c r="H4" s="7"/>
      <c r="I4" s="7"/>
      <c r="J4" s="7"/>
      <c r="K4" s="18"/>
      <c r="L4" s="18"/>
      <c r="M4" s="18"/>
      <c r="N4" s="18"/>
      <c r="O4" s="18"/>
      <c r="P4" s="18"/>
      <c r="Q4" s="18"/>
    </row>
    <row r="5" customFormat="1" ht="15.75" spans="1:17">
      <c r="A5" s="8" t="s">
        <v>124</v>
      </c>
      <c r="B5" s="8" t="s">
        <v>125</v>
      </c>
      <c r="C5" s="8" t="s">
        <v>131</v>
      </c>
      <c r="D5" s="8" t="s">
        <v>132</v>
      </c>
      <c r="E5" s="8" t="s">
        <v>133</v>
      </c>
      <c r="F5" s="8" t="s">
        <v>134</v>
      </c>
      <c r="G5" s="8" t="s">
        <v>135</v>
      </c>
      <c r="H5" s="8" t="s">
        <v>136</v>
      </c>
      <c r="I5" s="8" t="s">
        <v>137</v>
      </c>
      <c r="J5" s="8" t="s">
        <v>133</v>
      </c>
      <c r="K5" s="19"/>
      <c r="L5" s="19"/>
      <c r="M5" s="19"/>
      <c r="N5" s="19"/>
      <c r="O5" s="19"/>
      <c r="P5" s="19"/>
      <c r="Q5" s="19"/>
    </row>
    <row r="6" customFormat="1" spans="1:14">
      <c r="A6" s="9" t="s">
        <v>228</v>
      </c>
      <c r="B6" s="9"/>
      <c r="C6" s="10">
        <v>5300</v>
      </c>
      <c r="D6" s="11">
        <v>2400</v>
      </c>
      <c r="E6" s="12">
        <f t="shared" ref="E6:E30" si="0">C6-D6</f>
        <v>2900</v>
      </c>
      <c r="F6" s="13" t="s">
        <v>139</v>
      </c>
      <c r="G6" s="10">
        <f t="shared" ref="G6:G31" si="1">E6</f>
        <v>2900</v>
      </c>
      <c r="H6" s="10">
        <v>2400</v>
      </c>
      <c r="I6" s="11">
        <v>4000</v>
      </c>
      <c r="J6" s="12">
        <f t="shared" ref="J6:J30" si="2">G6+H6-I6</f>
        <v>1300</v>
      </c>
      <c r="N6" s="20"/>
    </row>
    <row r="7" customFormat="1" spans="1:14">
      <c r="A7" s="9" t="s">
        <v>229</v>
      </c>
      <c r="B7" s="9"/>
      <c r="C7" s="10">
        <v>3300</v>
      </c>
      <c r="D7" s="11">
        <v>3000</v>
      </c>
      <c r="E7" s="12">
        <f t="shared" si="0"/>
        <v>300</v>
      </c>
      <c r="F7" s="13"/>
      <c r="G7" s="10">
        <f t="shared" si="1"/>
        <v>300</v>
      </c>
      <c r="H7" s="10">
        <v>2400</v>
      </c>
      <c r="I7" s="11">
        <v>2100</v>
      </c>
      <c r="J7" s="12">
        <f t="shared" si="2"/>
        <v>600</v>
      </c>
      <c r="N7" s="20"/>
    </row>
    <row r="8" customFormat="1" spans="1:14">
      <c r="A8" s="9" t="s">
        <v>230</v>
      </c>
      <c r="B8" s="9"/>
      <c r="C8" s="10">
        <v>5100</v>
      </c>
      <c r="D8" s="11">
        <v>5100</v>
      </c>
      <c r="E8" s="12">
        <f t="shared" si="0"/>
        <v>0</v>
      </c>
      <c r="F8" s="13"/>
      <c r="G8" s="10">
        <f t="shared" si="1"/>
        <v>0</v>
      </c>
      <c r="H8" s="10">
        <v>4200</v>
      </c>
      <c r="I8" s="11">
        <v>2800</v>
      </c>
      <c r="J8" s="12">
        <f t="shared" si="2"/>
        <v>1400</v>
      </c>
      <c r="N8" s="20"/>
    </row>
    <row r="9" customFormat="1" spans="1:14">
      <c r="A9" s="9" t="s">
        <v>231</v>
      </c>
      <c r="B9" s="9"/>
      <c r="C9" s="10">
        <v>3300</v>
      </c>
      <c r="D9" s="11">
        <v>1500</v>
      </c>
      <c r="E9" s="12">
        <f t="shared" si="0"/>
        <v>1800</v>
      </c>
      <c r="F9" s="13"/>
      <c r="G9" s="10">
        <f t="shared" si="1"/>
        <v>1800</v>
      </c>
      <c r="H9" s="10">
        <v>2400</v>
      </c>
      <c r="I9" s="11"/>
      <c r="J9" s="12">
        <f t="shared" si="2"/>
        <v>4200</v>
      </c>
      <c r="N9" s="20"/>
    </row>
    <row r="10" customFormat="1" spans="1:14">
      <c r="A10" s="9" t="s">
        <v>232</v>
      </c>
      <c r="B10" s="9"/>
      <c r="C10" s="10">
        <v>5100</v>
      </c>
      <c r="D10" s="11">
        <v>5100</v>
      </c>
      <c r="E10" s="12">
        <f t="shared" si="0"/>
        <v>0</v>
      </c>
      <c r="F10" s="13"/>
      <c r="G10" s="10">
        <f t="shared" si="1"/>
        <v>0</v>
      </c>
      <c r="H10" s="10">
        <v>4200</v>
      </c>
      <c r="I10" s="11">
        <v>2500</v>
      </c>
      <c r="J10" s="12">
        <f t="shared" si="2"/>
        <v>1700</v>
      </c>
      <c r="N10" s="20"/>
    </row>
    <row r="11" customFormat="1" spans="1:14">
      <c r="A11" s="9" t="s">
        <v>233</v>
      </c>
      <c r="B11" s="9"/>
      <c r="C11" s="10">
        <v>3300</v>
      </c>
      <c r="D11" s="11">
        <v>2400</v>
      </c>
      <c r="E11" s="12">
        <f t="shared" si="0"/>
        <v>900</v>
      </c>
      <c r="F11" s="13"/>
      <c r="G11" s="10">
        <f t="shared" si="1"/>
        <v>900</v>
      </c>
      <c r="H11" s="10">
        <v>2400</v>
      </c>
      <c r="I11" s="11">
        <v>1500</v>
      </c>
      <c r="J11" s="12">
        <f t="shared" si="2"/>
        <v>1800</v>
      </c>
      <c r="N11" s="20"/>
    </row>
    <row r="12" customFormat="1" spans="1:16">
      <c r="A12" s="9" t="s">
        <v>234</v>
      </c>
      <c r="B12" s="9"/>
      <c r="C12" s="10">
        <v>5100</v>
      </c>
      <c r="D12" s="11">
        <v>4700</v>
      </c>
      <c r="E12" s="12">
        <f t="shared" si="0"/>
        <v>400</v>
      </c>
      <c r="F12" s="13"/>
      <c r="G12" s="10">
        <f t="shared" si="1"/>
        <v>400</v>
      </c>
      <c r="H12" s="10">
        <v>4200</v>
      </c>
      <c r="I12" s="11">
        <v>2000</v>
      </c>
      <c r="J12" s="12">
        <f t="shared" si="2"/>
        <v>2600</v>
      </c>
      <c r="K12" s="20"/>
      <c r="L12" s="20"/>
      <c r="M12" s="20"/>
      <c r="N12" s="20"/>
      <c r="O12" s="20"/>
      <c r="P12" s="20"/>
    </row>
    <row r="13" customFormat="1" spans="1:10">
      <c r="A13" s="9" t="s">
        <v>235</v>
      </c>
      <c r="B13" s="9"/>
      <c r="C13" s="10">
        <v>3300</v>
      </c>
      <c r="D13" s="11">
        <v>3500</v>
      </c>
      <c r="E13" s="12">
        <f t="shared" si="0"/>
        <v>-200</v>
      </c>
      <c r="F13" s="13"/>
      <c r="G13" s="10">
        <f t="shared" si="1"/>
        <v>-200</v>
      </c>
      <c r="H13" s="10">
        <v>2400</v>
      </c>
      <c r="I13" s="11">
        <v>1000</v>
      </c>
      <c r="J13" s="12">
        <f t="shared" si="2"/>
        <v>1200</v>
      </c>
    </row>
    <row r="14" customFormat="1" spans="1:10">
      <c r="A14" s="9" t="s">
        <v>236</v>
      </c>
      <c r="B14" s="9"/>
      <c r="C14" s="10">
        <v>6600</v>
      </c>
      <c r="D14" s="11">
        <v>6600</v>
      </c>
      <c r="E14" s="12">
        <f t="shared" si="0"/>
        <v>0</v>
      </c>
      <c r="F14" s="13" t="s">
        <v>237</v>
      </c>
      <c r="G14" s="10">
        <f t="shared" si="1"/>
        <v>0</v>
      </c>
      <c r="H14" s="10">
        <v>4800</v>
      </c>
      <c r="I14" s="11">
        <v>2500</v>
      </c>
      <c r="J14" s="12">
        <f t="shared" si="2"/>
        <v>2300</v>
      </c>
    </row>
    <row r="15" customFormat="1" spans="1:10">
      <c r="A15" s="9" t="s">
        <v>238</v>
      </c>
      <c r="B15" s="9"/>
      <c r="C15" s="10">
        <v>3300</v>
      </c>
      <c r="D15" s="11">
        <v>3000</v>
      </c>
      <c r="E15" s="12">
        <f t="shared" si="0"/>
        <v>300</v>
      </c>
      <c r="F15" s="13"/>
      <c r="G15" s="10">
        <f t="shared" si="1"/>
        <v>300</v>
      </c>
      <c r="H15" s="10">
        <v>2400</v>
      </c>
      <c r="I15" s="11">
        <v>500</v>
      </c>
      <c r="J15" s="12">
        <f t="shared" si="2"/>
        <v>2200</v>
      </c>
    </row>
    <row r="16" customFormat="1" spans="1:10">
      <c r="A16" s="9" t="s">
        <v>239</v>
      </c>
      <c r="B16" s="9"/>
      <c r="C16" s="10">
        <v>3300</v>
      </c>
      <c r="D16" s="11">
        <v>3300</v>
      </c>
      <c r="E16" s="12">
        <f t="shared" si="0"/>
        <v>0</v>
      </c>
      <c r="F16" s="13"/>
      <c r="G16" s="10">
        <f t="shared" si="1"/>
        <v>0</v>
      </c>
      <c r="H16" s="10">
        <v>2400</v>
      </c>
      <c r="I16" s="11">
        <v>1000</v>
      </c>
      <c r="J16" s="12">
        <f t="shared" si="2"/>
        <v>1400</v>
      </c>
    </row>
    <row r="17" customFormat="1" spans="1:10">
      <c r="A17" s="9" t="s">
        <v>240</v>
      </c>
      <c r="B17" s="9"/>
      <c r="C17" s="10">
        <v>3300</v>
      </c>
      <c r="D17" s="11">
        <v>3300</v>
      </c>
      <c r="E17" s="12">
        <f t="shared" si="0"/>
        <v>0</v>
      </c>
      <c r="F17" s="13"/>
      <c r="G17" s="10">
        <f t="shared" si="1"/>
        <v>0</v>
      </c>
      <c r="H17" s="10">
        <v>2400</v>
      </c>
      <c r="I17" s="11">
        <v>2400</v>
      </c>
      <c r="J17" s="12">
        <f t="shared" si="2"/>
        <v>0</v>
      </c>
    </row>
    <row r="18" customFormat="1" spans="1:10">
      <c r="A18" s="9" t="s">
        <v>241</v>
      </c>
      <c r="B18" s="9"/>
      <c r="C18" s="10">
        <v>3300</v>
      </c>
      <c r="D18" s="11">
        <v>2900</v>
      </c>
      <c r="E18" s="12">
        <f>C18-D18</f>
        <v>400</v>
      </c>
      <c r="F18" s="13"/>
      <c r="G18" s="10">
        <f t="shared" si="1"/>
        <v>400</v>
      </c>
      <c r="H18" s="10">
        <v>2400</v>
      </c>
      <c r="I18" s="11"/>
      <c r="J18" s="12">
        <f t="shared" si="2"/>
        <v>2800</v>
      </c>
    </row>
    <row r="19" customFormat="1" spans="1:10">
      <c r="A19" s="9" t="s">
        <v>242</v>
      </c>
      <c r="B19" s="9"/>
      <c r="C19" s="10">
        <v>3300</v>
      </c>
      <c r="D19" s="11">
        <v>3300</v>
      </c>
      <c r="E19" s="12">
        <f>C19-D19</f>
        <v>0</v>
      </c>
      <c r="F19" s="13"/>
      <c r="G19" s="10">
        <f t="shared" si="1"/>
        <v>0</v>
      </c>
      <c r="H19" s="10">
        <v>2400</v>
      </c>
      <c r="I19" s="11">
        <v>2400</v>
      </c>
      <c r="J19" s="12">
        <f>G19+H19-I19</f>
        <v>0</v>
      </c>
    </row>
    <row r="20" customFormat="1" spans="1:10">
      <c r="A20" s="9" t="s">
        <v>243</v>
      </c>
      <c r="B20" s="9"/>
      <c r="C20" s="10">
        <v>3300</v>
      </c>
      <c r="D20" s="11">
        <v>300</v>
      </c>
      <c r="E20" s="12">
        <f>C20-D20</f>
        <v>3000</v>
      </c>
      <c r="F20" s="13"/>
      <c r="G20" s="10">
        <f t="shared" si="1"/>
        <v>3000</v>
      </c>
      <c r="H20" s="10">
        <v>2400</v>
      </c>
      <c r="I20" s="11">
        <v>1000</v>
      </c>
      <c r="J20" s="12">
        <f>G20+H20-I20</f>
        <v>4400</v>
      </c>
    </row>
    <row r="21" customFormat="1" spans="1:10">
      <c r="A21" s="9" t="s">
        <v>244</v>
      </c>
      <c r="B21" s="9"/>
      <c r="C21" s="10">
        <v>3300</v>
      </c>
      <c r="D21" s="11">
        <v>3300</v>
      </c>
      <c r="E21" s="12">
        <f>C21-D21</f>
        <v>0</v>
      </c>
      <c r="F21" s="13"/>
      <c r="G21" s="10">
        <f t="shared" si="1"/>
        <v>0</v>
      </c>
      <c r="H21" s="10">
        <v>2400</v>
      </c>
      <c r="I21" s="11"/>
      <c r="J21" s="12">
        <f>G21+H21-I21</f>
        <v>2400</v>
      </c>
    </row>
    <row r="22" customFormat="1" spans="1:10">
      <c r="A22" s="9"/>
      <c r="B22" s="9"/>
      <c r="C22" s="10"/>
      <c r="D22" s="11"/>
      <c r="E22" s="12">
        <f>C22-D22</f>
        <v>0</v>
      </c>
      <c r="F22" s="13"/>
      <c r="G22" s="10">
        <f t="shared" si="1"/>
        <v>0</v>
      </c>
      <c r="H22" s="10"/>
      <c r="I22" s="11"/>
      <c r="J22" s="12">
        <f>G22+H22-I22</f>
        <v>0</v>
      </c>
    </row>
    <row r="23" customFormat="1" ht="15.75" spans="1:10">
      <c r="A23" s="14" t="s">
        <v>71</v>
      </c>
      <c r="B23" s="15"/>
      <c r="C23" s="16">
        <f>SUM(C6:C22)</f>
        <v>63500</v>
      </c>
      <c r="D23" s="16">
        <f>SUM(D6:D22)</f>
        <v>53700</v>
      </c>
      <c r="E23" s="16">
        <f>SUM(E6:E22)</f>
        <v>9800</v>
      </c>
      <c r="F23" s="15"/>
      <c r="G23" s="16">
        <f>E23</f>
        <v>9800</v>
      </c>
      <c r="H23" s="16">
        <f>SUM(H6:H22)</f>
        <v>46200</v>
      </c>
      <c r="I23" s="16">
        <f>SUM(I6:I22)</f>
        <v>25700</v>
      </c>
      <c r="J23" s="21">
        <f>SUM(J6:J22)</f>
        <v>30300</v>
      </c>
    </row>
    <row r="24" customFormat="1" ht="15.75" spans="3:10">
      <c r="C24" s="1"/>
      <c r="D24" s="1"/>
      <c r="E24" s="1"/>
      <c r="F24" s="1"/>
      <c r="G24" s="1"/>
      <c r="H24" s="1"/>
      <c r="I24" s="1"/>
      <c r="J24" s="1"/>
    </row>
    <row r="25" customFormat="1" spans="3:10">
      <c r="C25" s="1"/>
      <c r="D25" s="1"/>
      <c r="E25" s="1"/>
      <c r="F25" s="1"/>
      <c r="G25" s="1"/>
      <c r="H25" s="1"/>
      <c r="I25" s="1"/>
      <c r="J25" s="1"/>
    </row>
    <row r="26" customFormat="1" spans="3:10">
      <c r="C26" s="1"/>
      <c r="D26" s="1"/>
      <c r="E26" s="1"/>
      <c r="F26" s="1"/>
      <c r="G26" s="1"/>
      <c r="H26" s="1"/>
      <c r="I26" s="1"/>
      <c r="J26" s="1"/>
    </row>
    <row r="27" customFormat="1" spans="3:10">
      <c r="C27" s="1"/>
      <c r="D27" s="1"/>
      <c r="E27" s="1"/>
      <c r="F27" s="1"/>
      <c r="G27" s="1"/>
      <c r="H27" s="1"/>
      <c r="I27" s="1"/>
      <c r="J27" s="1"/>
    </row>
    <row r="28" customFormat="1" spans="3:10">
      <c r="C28" s="1"/>
      <c r="D28" s="1"/>
      <c r="E28" s="1"/>
      <c r="F28" s="1"/>
      <c r="G28" s="1"/>
      <c r="H28" s="1"/>
      <c r="I28" s="1"/>
      <c r="J28" s="1"/>
    </row>
    <row r="32" customFormat="1" spans="3:15">
      <c r="C32" s="1"/>
      <c r="D32" s="1"/>
      <c r="E32" s="1"/>
      <c r="F32" s="1"/>
      <c r="G32" s="1"/>
      <c r="H32" s="1"/>
      <c r="I32" s="1"/>
      <c r="J32" s="1"/>
      <c r="K32"/>
      <c r="L32"/>
      <c r="M32"/>
      <c r="N32"/>
      <c r="O32">
        <f>2100+300+800+600+1000</f>
        <v>4800</v>
      </c>
    </row>
    <row r="44" spans="5:5">
      <c r="E44" s="1">
        <f>C44-D44</f>
        <v>0</v>
      </c>
    </row>
  </sheetData>
  <mergeCells count="6">
    <mergeCell ref="A1:J1"/>
    <mergeCell ref="C3:F3"/>
    <mergeCell ref="G3:J3"/>
    <mergeCell ref="K3:Q3"/>
    <mergeCell ref="C4:J4"/>
    <mergeCell ref="K4:Q4"/>
  </mergeCell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OBWOLO BUDGET</vt:lpstr>
      <vt:lpstr>SCHOOL FEES SUMMARY</vt:lpstr>
      <vt:lpstr>GITA-BUDGET</vt:lpstr>
      <vt:lpstr>GRADE 3 FEES BAL 2024</vt:lpstr>
      <vt:lpstr>GRADE 4 FEE BAL 2024</vt:lpstr>
      <vt:lpstr>GRADE 5 FEE BAL-2024</vt:lpstr>
      <vt:lpstr>GRADE 6 FEE BALANCE 2024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Lumumba Pharmacy</dc:creator>
  <cp:lastModifiedBy>Lumumba Pharmacy</cp:lastModifiedBy>
  <dcterms:created xsi:type="dcterms:W3CDTF">2024-06-15T06:17:00Z</dcterms:created>
  <dcterms:modified xsi:type="dcterms:W3CDTF">2024-06-16T13:24:09Z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2FDC116B74F54DF78B856AC159B604C3_12</vt:lpwstr>
  </property>
  <property fmtid="{D5CDD505-2E9C-101B-9397-08002B2CF9AE}" pid="3" name="KSOProductBuildVer">
    <vt:lpwstr>1033-12.2.0.17119</vt:lpwstr>
  </property>
</Properties>
</file>